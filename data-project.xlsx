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Inputs" sheetId="3" state="visible" r:id="rId5"/>
    <sheet name="Data" sheetId="4" state="visible" r:id="rId6"/>
    <sheet name="Features" sheetId="5" state="visible" r:id="rId7"/>
    <sheet name="PCA" sheetId="6" state="visible" r:id="rId8"/>
    <sheet name="KMeans" sheetId="7" state="visible" r:id="rId9"/>
    <sheet name="Silhouette" sheetId="8" state="visible" r:id="rId10"/>
    <sheet name="Regress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<sst xmlns="http://schemas.openxmlformats.org/spreadsheetml/2006/main" count="397" uniqueCount="227">
  <si>
    <t xml:space="preserve">Macquarie FY24 ESG: data science mini project (pure Excel, no macros or code)</t>
  </si>
  <si>
    <t xml:space="preserve">How to run</t>
  </si>
  <si>
    <t xml:space="preserve">Open this workbook in desktop Excel (2010+) and click Enable Editing. Nothing else to run or install.</t>
  </si>
  <si>
    <t xml:space="preserve">Change the yellow cells on Inputs (starting cluster centres, anomaly threshold); every sheet recalculates. Press F9 if calculation is manual.</t>
  </si>
  <si>
    <t xml:space="preserve">Pipeline (each step feeds the next)</t>
  </si>
  <si>
    <t xml:space="preserve">1. Features: feature engineering + z-score standardisation + correlation matrix.</t>
  </si>
  <si>
    <t xml:space="preserve">2. PCA: eigenvectors obtained by power iteration and deflation (PC1, PC2, explained variance, loadings, scores).</t>
  </si>
  <si>
    <t xml:space="preserve">3. KMeans: k = 3 clustering with 8 iterations laid out step by step, convergence check and inertia.</t>
  </si>
  <si>
    <t xml:space="preserve">4. Silhouette: pairwise distance matrix and silhouette score to validate the clusters.</t>
  </si>
  <si>
    <t xml:space="preserve">5. Regression: LINEST multiple regression (t-stats, p-values, F, VIF), train/test split, naive-baseline comparison, residual anomaly flags.</t>
  </si>
  <si>
    <t xml:space="preserve">Data from the original locked file</t>
  </si>
  <si>
    <t xml:space="preserve">Data sheet = values copied from "1. ESRM" (reviews by sector, FY22 to FY24), source cells listed per row, reconciled to the reported totals.</t>
  </si>
  <si>
    <t xml:space="preserve">Everything else is a formula on that data. Blue = hardcoded input, green = link to another sheet, black = calculation.</t>
  </si>
  <si>
    <t xml:space="preserve">Caveats</t>
  </si>
  <si>
    <t xml:space="preserve">Only 16 sectors x 3 years: this demonstrates methods on a small sample, not robust conclusions. Review counts measure workload, not risk severity.</t>
  </si>
  <si>
    <t xml:space="preserve">Train/test assignment (seed 42) was fixed once and hardcoded in Regression column A.</t>
  </si>
  <si>
    <t xml:space="preserve">Dashboard</t>
  </si>
  <si>
    <t xml:space="preserve">Live: change Inputs and everything recalculates.</t>
  </si>
  <si>
    <t xml:space="preserve">Metric</t>
  </si>
  <si>
    <t xml:space="preserve">Value</t>
  </si>
  <si>
    <t xml:space="preserve">PC1 explained variance</t>
  </si>
  <si>
    <t xml:space="preserve">PC1 + PC2 cumulative</t>
  </si>
  <si>
    <t xml:space="preserve">K-means converged?</t>
  </si>
  <si>
    <t xml:space="preserve">K-means inertia</t>
  </si>
  <si>
    <t xml:space="preserve">Mean silhouette</t>
  </si>
  <si>
    <t xml:space="preserve">Cluster 1 / 2 / 3 sizes</t>
  </si>
  <si>
    <t xml:space="preserve">Regression R² (train)</t>
  </si>
  <si>
    <t xml:space="preserve">Adjusted R² (train)</t>
  </si>
  <si>
    <t xml:space="preserve">Test RMSE: model</t>
  </si>
  <si>
    <t xml:space="preserve">Test RMSE: naive baseline</t>
  </si>
  <si>
    <t xml:space="preserve">Skill vs naive</t>
  </si>
  <si>
    <t xml:space="preserve">Anomalous residuals (train + test)</t>
  </si>
  <si>
    <t xml:space="preserve">PCA chart colours assume the default cluster centre inputs (cluster sizes 3 / 2 / 11); other inputs may mis-colour points but not move them.</t>
  </si>
  <si>
    <t xml:space="preserve">Inputs (edit yellow cells)</t>
  </si>
  <si>
    <t xml:space="preserve">Parameter</t>
  </si>
  <si>
    <t xml:space="preserve">Note</t>
  </si>
  <si>
    <t xml:space="preserve">K-means initial cluster centre 1</t>
  </si>
  <si>
    <t xml:space="preserve">Mining</t>
  </si>
  <si>
    <t xml:space="preserve">Sector used as starting centre of cluster 1</t>
  </si>
  <si>
    <t xml:space="preserve">K-means initial cluster centre 2</t>
  </si>
  <si>
    <t xml:space="preserve">Nuclear</t>
  </si>
  <si>
    <t xml:space="preserve">Sector used as starting centre of cluster 2</t>
  </si>
  <si>
    <t xml:space="preserve">K-means initial cluster centre 3</t>
  </si>
  <si>
    <t xml:space="preserve">Technology</t>
  </si>
  <si>
    <t xml:space="preserve">Sector used as starting centre of cluster 3</t>
  </si>
  <si>
    <t xml:space="preserve">Residual anomaly threshold |z|</t>
  </si>
  <si>
    <t xml:space="preserve">Regression residuals beyond this many std errors are flagged</t>
  </si>
  <si>
    <t xml:space="preserve">Fixed design choices (not inputs): k = 3 clusters, 8 k-means iterations, 30 power-iteration steps, 4 PCA features, 12/4 train/test split (seed 42).</t>
  </si>
  <si>
    <t xml:space="preserve">Source data: Macquarie FY24 ESG Dataset, sheet "1. ESRM"</t>
  </si>
  <si>
    <t xml:space="preserve">Blue = values copied from the (protected) source file; source cells listed per row. Columns reordered oldest to newest.</t>
  </si>
  <si>
    <t xml:space="preserve">Reviews completed under the ESR Policy, by sector (#)</t>
  </si>
  <si>
    <t xml:space="preserve">Sector</t>
  </si>
  <si>
    <t xml:space="preserve">FY22</t>
  </si>
  <si>
    <t xml:space="preserve">FY23</t>
  </si>
  <si>
    <t xml:space="preserve">FY24</t>
  </si>
  <si>
    <t xml:space="preserve">Source cells</t>
  </si>
  <si>
    <t xml:space="preserve">'1. ESRM'!B5:E5</t>
  </si>
  <si>
    <t xml:space="preserve">Energy</t>
  </si>
  <si>
    <t xml:space="preserve">'1. ESRM'!B6:E6</t>
  </si>
  <si>
    <t xml:space="preserve">Social infrastructure</t>
  </si>
  <si>
    <t xml:space="preserve">'1. ESRM'!B7:E7</t>
  </si>
  <si>
    <t xml:space="preserve">'1. ESRM'!B8:E8</t>
  </si>
  <si>
    <t xml:space="preserve">Defence</t>
  </si>
  <si>
    <t xml:space="preserve">'1. ESRM'!B9:E9</t>
  </si>
  <si>
    <t xml:space="preserve">Agriculture</t>
  </si>
  <si>
    <t xml:space="preserve">'1. ESRM'!B10:E10</t>
  </si>
  <si>
    <t xml:space="preserve">Manufacturing</t>
  </si>
  <si>
    <t xml:space="preserve">'1. ESRM'!B11:E11</t>
  </si>
  <si>
    <t xml:space="preserve">Financial services</t>
  </si>
  <si>
    <t xml:space="preserve">'1. ESRM'!B12:E12</t>
  </si>
  <si>
    <t xml:space="preserve">Gaming &amp; entertainment</t>
  </si>
  <si>
    <t xml:space="preserve">'1. ESRM'!B13:E13</t>
  </si>
  <si>
    <t xml:space="preserve">Chemicals &amp; pharmaceuticals</t>
  </si>
  <si>
    <t xml:space="preserve">'1. ESRM'!B14:E14</t>
  </si>
  <si>
    <t xml:space="preserve">Renewables</t>
  </si>
  <si>
    <t xml:space="preserve">'1. ESRM'!B15:E15</t>
  </si>
  <si>
    <t xml:space="preserve">Forestry</t>
  </si>
  <si>
    <t xml:space="preserve">'1. ESRM'!B16:E16</t>
  </si>
  <si>
    <t xml:space="preserve">Transport</t>
  </si>
  <si>
    <t xml:space="preserve">'1. ESRM'!B17:E17</t>
  </si>
  <si>
    <t xml:space="preserve">'1. ESRM'!B18:E18</t>
  </si>
  <si>
    <t xml:space="preserve">Infrastructure</t>
  </si>
  <si>
    <t xml:space="preserve">'1. ESRM'!B19:E19</t>
  </si>
  <si>
    <t xml:space="preserve">Other</t>
  </si>
  <si>
    <t xml:space="preserve">'1. ESRM'!B20:E20</t>
  </si>
  <si>
    <t xml:space="preserve">Total (calculated)</t>
  </si>
  <si>
    <t xml:space="preserve">Total (reported)</t>
  </si>
  <si>
    <t xml:space="preserve">'1. ESRM'!C21:E21</t>
  </si>
  <si>
    <t xml:space="preserve">Check (should be 0)</t>
  </si>
  <si>
    <t xml:space="preserve">Step 1: Feature engineering and standardisation</t>
  </si>
  <si>
    <t xml:space="preserve">Each sector becomes a 4-feature profile, then z-scored (mean 0, std 1) so features are comparable.</t>
  </si>
  <si>
    <t xml:space="preserve">Period index t</t>
  </si>
  <si>
    <t xml:space="preserve">ln(avg volume)</t>
  </si>
  <si>
    <t xml:space="preserve">YoY growth FY24</t>
  </si>
  <si>
    <t xml:space="preserve">Volatility (CV)</t>
  </si>
  <si>
    <t xml:space="preserve">Relative trend</t>
  </si>
  <si>
    <t xml:space="preserve">z: ln(avg volume)</t>
  </si>
  <si>
    <t xml:space="preserve">z: YoY growth FY24</t>
  </si>
  <si>
    <t xml:space="preserve">z: Volatility (CV)</t>
  </si>
  <si>
    <t xml:space="preserve">z: Relative trend</t>
  </si>
  <si>
    <t xml:space="preserve">Mean</t>
  </si>
  <si>
    <t xml:space="preserve">Std dev (sample)</t>
  </si>
  <si>
    <t xml:space="preserve">Correlation matrix of the 4 features (input to PCA)</t>
  </si>
  <si>
    <t xml:space="preserve">Step 2: PCA via eigenvectors (power iteration with deflation)</t>
  </si>
  <si>
    <t xml:space="preserve">Excel has no eigen function, so PC1 and PC2 are obtained by repeated matrix-vector multiplication until the vector stops changing (column J shows convergence).</t>
  </si>
  <si>
    <t xml:space="preserve">Correlation matrix C</t>
  </si>
  <si>
    <t xml:space="preserve">Results</t>
  </si>
  <si>
    <t xml:space="preserve">PC1 score</t>
  </si>
  <si>
    <t xml:space="preserve">PC2 score</t>
  </si>
  <si>
    <t xml:space="preserve">Cluster</t>
  </si>
  <si>
    <t xml:space="preserve">Sort key</t>
  </si>
  <si>
    <t xml:space="preserve">Component</t>
  </si>
  <si>
    <t xml:space="preserve">Eigenvalue</t>
  </si>
  <si>
    <t xml:space="preserve">Explained variance</t>
  </si>
  <si>
    <t xml:space="preserve">Cumulative</t>
  </si>
  <si>
    <t xml:space="preserve">PC1</t>
  </si>
  <si>
    <t xml:space="preserve">PC2</t>
  </si>
  <si>
    <t xml:space="preserve">Loading</t>
  </si>
  <si>
    <t xml:space="preserve">PC1: power iteration on C</t>
  </si>
  <si>
    <t xml:space="preserve">Iter</t>
  </si>
  <si>
    <t xml:space="preserve">v1</t>
  </si>
  <si>
    <t xml:space="preserve">v2</t>
  </si>
  <si>
    <t xml:space="preserve">v3</t>
  </si>
  <si>
    <t xml:space="preserve">v4</t>
  </si>
  <si>
    <t xml:space="preserve">C·v 1</t>
  </si>
  <si>
    <t xml:space="preserve">C·v 2</t>
  </si>
  <si>
    <t xml:space="preserve">C·v 3</t>
  </si>
  <si>
    <t xml:space="preserve">C·v 4</t>
  </si>
  <si>
    <t xml:space="preserve">Change</t>
  </si>
  <si>
    <t xml:space="preserve">Orthogonality v1·v2 (≈0)</t>
  </si>
  <si>
    <t xml:space="preserve">PC1 converged?</t>
  </si>
  <si>
    <t xml:space="preserve">PC2 converged?</t>
  </si>
  <si>
    <t xml:space="preserve">Total variance = 4 (trace of a 4x4 correlation matrix). Loading signs are arbitrary.</t>
  </si>
  <si>
    <t xml:space="preserve">Scores sorted by cluster (feeds the Dashboard chart)</t>
  </si>
  <si>
    <t xml:space="preserve">Row idx</t>
  </si>
  <si>
    <t xml:space="preserve">Deflated matrix C2 = C - λ1·v1·v1ᵀ (removes PC1 so PC2 can be extracted)</t>
  </si>
  <si>
    <t xml:space="preserve">PC2: power iteration on C2</t>
  </si>
  <si>
    <t xml:space="preserve">Step 3: K-means clustering (k = 3) on the standardised features</t>
  </si>
  <si>
    <t xml:space="preserve">Each iteration: distance of every sector to the 3 cluster centres, assign to nearest, recompute cluster centres as cluster means (cluster centre tables below).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</si>
  <si>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</si>
  <si>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</si>
  <si>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</si>
  <si>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</si>
  <si>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</si>
  <si>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</si>
  <si>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</si>
  <si>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</si>
  <si>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Final cluster</t>
  </si>
  <si>
    <t xml:space="preserve">d to C1</t>
  </si>
  <si>
    <t xml:space="preserve">d to C2</t>
  </si>
  <si>
    <t xml:space="preserve">d to C3</t>
  </si>
  <si>
    <t xml:space="preserve">Dist to own cluster centre</t>
  </si>
  <si>
    <t xml:space="preserve">Iteration 0 cluster centres</t>
  </si>
  <si>
    <t xml:space="preserve">Cluster centre 1</t>
  </si>
  <si>
    <t xml:space="preserve">Cluster centre 2</t>
  </si>
  <si>
    <t xml:space="preserve">Cluster centre 3</t>
  </si>
  <si>
    <t xml:space="preserve">Iteration 1 cluster centres</t>
  </si>
  <si>
    <t xml:space="preserve">Iteration 2 cluster centres</t>
  </si>
  <si>
    <t xml:space="preserve">Iteration 3 cluster centres</t>
  </si>
  <si>
    <t xml:space="preserve">Iteration 4 cluster centres</t>
  </si>
  <si>
    <t xml:space="preserve">Iteration 5 cluster centres</t>
  </si>
  <si>
    <t xml:space="preserve">Iteration 6 cluster centres</t>
  </si>
  <si>
    <t xml:space="preserve">Iteration 7 cluster centres</t>
  </si>
  <si>
    <t xml:space="preserve">Assignments changed in last iteration</t>
  </si>
  <si>
    <t xml:space="preserve">Converged?</t>
  </si>
  <si>
    <t xml:space="preserve">Within-cluster sum of squares (inertia)</t>
  </si>
  <si>
    <t xml:space="preserve">Members</t>
  </si>
  <si>
    <t xml:space="preserve">Avg FY24 reviews</t>
  </si>
  <si>
    <t xml:space="preserve">Avg YoY growth</t>
  </si>
  <si>
    <t xml:space="preserve">Avg volatility (CV)</t>
  </si>
  <si>
    <t xml:space="preserve">Avg relative trend</t>
  </si>
  <si>
    <t xml:space="preserve">Step 4: Cluster validation with the silhouette score</t>
  </si>
  <si>
    <t xml:space="preserve">s = (b - a) / max(a, b): a = mean distance to own cluster, b = mean distance to nearest other cluster. Above 0.5 strong, 0.25 to 0.5 reasonable, below 0.25 weak.</t>
  </si>
  <si>
    <t xml:space="preserve">Pairwise Euclidean distance matrix (standardised features)</t>
  </si>
  <si>
    <t xml:space="preserve">Cluster label →</t>
  </si>
  <si>
    <t xml:space="preserve">Own cluster</t>
  </si>
  <si>
    <t xml:space="preserve">Cluster size</t>
  </si>
  <si>
    <t xml:space="preserve">a (own)</t>
  </si>
  <si>
    <t xml:space="preserve">Mean d to C1</t>
  </si>
  <si>
    <t xml:space="preserve">Mean d to C2</t>
  </si>
  <si>
    <t xml:space="preserve">Mean d to C3</t>
  </si>
  <si>
    <t xml:space="preserve">b (nearest other)</t>
  </si>
  <si>
    <t xml:space="preserve">Silhouette s</t>
  </si>
  <si>
    <t xml:space="preserve">Mean silhouette (all sectors)</t>
  </si>
  <si>
    <t xml:space="preserve">Mean d columns show 1E+9 (a sentinel) for the sector's own cluster, so MIN picks the nearest OTHER cluster.</t>
  </si>
  <si>
    <t xml:space="preserve">Step 5: Multiple regression with held-out validation: FY24 reviews ~ FY22 + FY23</t>
  </si>
  <si>
    <t xml:space="preserve">Split: 12 train / 4 test, random with seed 42 (assignment hardcoded in blue). Model is fit by LINEST on train only, then scored on the unseen test sectors against a naive baseline.</t>
  </si>
  <si>
    <t xml:space="preserve">Training set (12 sectors)</t>
  </si>
  <si>
    <t xml:space="preserve">Model coefficients (train)</t>
  </si>
  <si>
    <t xml:space="preserve">FY22 (x1)</t>
  </si>
  <si>
    <t xml:space="preserve">FY23 (x2)</t>
  </si>
  <si>
    <t xml:space="preserve">FY24 (y)</t>
  </si>
  <si>
    <t xml:space="preserve">Fitted</t>
  </si>
  <si>
    <t xml:space="preserve">Residual</t>
  </si>
  <si>
    <t xml:space="preserve">Std residual</t>
  </si>
  <si>
    <t xml:space="preserve">Anomaly?</t>
  </si>
  <si>
    <t xml:space="preserve">Term</t>
  </si>
  <si>
    <t xml:space="preserve">Coefficient</t>
  </si>
  <si>
    <t xml:space="preserve">Std error</t>
  </si>
  <si>
    <t xml:space="preserve">t-stat</t>
  </si>
  <si>
    <t xml:space="preserve">p-value</t>
  </si>
  <si>
    <t xml:space="preserve">Intercept</t>
  </si>
  <si>
    <t xml:space="preserve">Fit statistics (train)</t>
  </si>
  <si>
    <t xml:space="preserve">R-squared</t>
  </si>
  <si>
    <t xml:space="preserve">Adjusted R-squared</t>
  </si>
  <si>
    <t xml:space="preserve">Observations (n)</t>
  </si>
  <si>
    <t xml:space="preserve">Residual df</t>
  </si>
  <si>
    <t xml:space="preserve">F-statistic</t>
  </si>
  <si>
    <t xml:space="preserve">F p-value</t>
  </si>
  <si>
    <t xml:space="preserve">Std error of regression</t>
  </si>
  <si>
    <t xml:space="preserve">Train RMSE</t>
  </si>
  <si>
    <t xml:space="preserve">VIF (multicollinearity)</t>
  </si>
  <si>
    <t xml:space="preserve">Test set (4 unseen sectors)</t>
  </si>
  <si>
    <t xml:space="preserve">VIF above ~5 signals collinear predictors; coefficients are then unstable.</t>
  </si>
  <si>
    <t xml:space="preserve">FY24 actual</t>
  </si>
  <si>
    <t xml:space="preserve">Model prediction</t>
  </si>
  <si>
    <t xml:space="preserve">Naive (FY24=FY23)</t>
  </si>
  <si>
    <t xml:space="preserve">Model error</t>
  </si>
  <si>
    <t xml:space="preserve">Naive error</t>
  </si>
  <si>
    <t xml:space="preserve">Test-set accuracy</t>
  </si>
  <si>
    <t xml:space="preserve">Regression model</t>
  </si>
  <si>
    <t xml:space="preserve">Naive baseline</t>
  </si>
  <si>
    <t xml:space="preserve">RMSE</t>
  </si>
  <si>
    <t xml:space="preserve">MAE</t>
  </si>
  <si>
    <t xml:space="preserve">MAPE</t>
  </si>
  <si>
    <t xml:space="preserve">Skill vs naive (1 - RMSE ratio)</t>
  </si>
  <si>
    <t xml:space="preserve">Positive skill = the model beats simply repeating last year. Tiny sample (n = 12 train, 4 test): treat as a demonstration of method, not a production forecast.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</si>
</sst>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%"/>
    <numFmt numFmtId="166" formatCode="0.00"/>
    <numFmt numFmtId="167" formatCode="0.000"/>
    <numFmt numFmtId="168" formatCode="0.0%;\(0.0%\);\-"/>
    <numFmt numFmtId="169" formatCode="0"/>
    <numFmt numFmtId="170" formatCode="0.0"/>
    <numFmt numFmtId="171" formatCode="#,##0"/>
    <numFmt numFmtId="172" formatCode="#,##0;\(#,##0\);\-"/>
    <numFmt numFmtId="173" formatCode="0.000;\(0.000\);\-"/>
    <numFmt numFmtId="174" formatCode="0.00;\(0.00\);\-"/>
    <numFmt numFmtId="175" formatCode="0.0000"/>
    <numFmt numFmtId="176" formatCode="0.0000;\(0.0000\);\-"/>
    <numFmt numFmtId="177" formatCode="0.0E+00"/>
    <numFmt numFmtId="178" formatCode="#,##0.0"/>
    <numFmt numFmtId="179" formatCode="0.00;\(0.00\);\-;@"/>
    <numFmt numFmtId="180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PCA map of sectors, coloured by k-means cluster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"Cluster 1"</c:f>
              <c:strCache>
                <c:ptCount val="1"/>
                <c:pt idx="0">
                  <c:v>Cluster 1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square"/>
            <c:size val="8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PCA!$M$25:$M$27</c:f>
              <c:numCache>
                <c:formatCode>0.00;\(0.00\);\-</c:formatCode>
                <c:ptCount val="3"/>
                <c:pt idx="0">
                  <c:v>-1.51706048587012</c:v>
                </c:pt>
                <c:pt idx="1">
                  <c:v>-1.59454193085925</c:v>
                </c:pt>
                <c:pt idx="2">
                  <c:v>-0.0425459001717164</c:v>
                </c:pt>
              </c:numCache>
            </c:numRef>
          </c:xVal>
          <c:yVal>
            <c:numRef>
              <c:f>PCA!$N$25:$N$27</c:f>
              <c:numCache>
                <c:formatCode>0.00;\(0.00\);\-</c:formatCode>
                <c:ptCount val="3"/>
                <c:pt idx="0">
                  <c:v>-1.34578528368626</c:v>
                </c:pt>
                <c:pt idx="1">
                  <c:v>-1.61338802240194</c:v>
                </c:pt>
                <c:pt idx="2">
                  <c:v>-1.37872664410207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"Cluster 2"</c:f>
              <c:strCache>
                <c:ptCount val="1"/>
                <c:pt idx="0">
                  <c:v>Cluster 2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square"/>
            <c:size val="8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PCA!$M$28:$M$29</c:f>
              <c:numCache>
                <c:formatCode>0.00;\(0.00\);\-</c:formatCode>
                <c:ptCount val="2"/>
                <c:pt idx="0">
                  <c:v>4.11010159113358</c:v>
                </c:pt>
                <c:pt idx="1">
                  <c:v>3.1864412597677</c:v>
                </c:pt>
              </c:numCache>
            </c:numRef>
          </c:xVal>
          <c:yVal>
            <c:numRef>
              <c:f>PCA!$N$28:$N$29</c:f>
              <c:numCache>
                <c:formatCode>0.00;\(0.00\);\-</c:formatCode>
                <c:ptCount val="2"/>
                <c:pt idx="0">
                  <c:v>-1.02975035946605</c:v>
                </c:pt>
                <c:pt idx="1">
                  <c:v>0.275704593800469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"Cluster 3"</c:f>
              <c:strCache>
                <c:ptCount val="1"/>
                <c:pt idx="0">
                  <c:v>Cluster 3</c:v>
                </c:pt>
              </c:strCache>
            </c:strRef>
          </c:tx>
          <c:spPr>
            <a:solidFill>
              <a:srgbClr val="9dc3e6"/>
            </a:solidFill>
            <a:ln w="28440">
              <a:noFill/>
            </a:ln>
          </c:spPr>
          <c:marker>
            <c:symbol val="square"/>
            <c:size val="8"/>
            <c:spPr>
              <a:solidFill>
                <a:srgbClr val="9dc3e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PCA!$M$30:$M$40</c:f>
              <c:numCache>
                <c:formatCode>0.00;\(0.00\);\-</c:formatCode>
                <c:ptCount val="11"/>
                <c:pt idx="0">
                  <c:v>0.18656729730273</c:v>
                </c:pt>
                <c:pt idx="1">
                  <c:v>-0.0170786774905188</c:v>
                </c:pt>
                <c:pt idx="2">
                  <c:v>-0.674157049491814</c:v>
                </c:pt>
                <c:pt idx="3">
                  <c:v>-0.820098630293877</c:v>
                </c:pt>
                <c:pt idx="4">
                  <c:v>-0.527639984570594</c:v>
                </c:pt>
                <c:pt idx="5">
                  <c:v>-0.735894006057573</c:v>
                </c:pt>
                <c:pt idx="6">
                  <c:v>0.701183501677585</c:v>
                </c:pt>
                <c:pt idx="7">
                  <c:v>-0.379859285104542</c:v>
                </c:pt>
                <c:pt idx="8">
                  <c:v>-0.388424484690666</c:v>
                </c:pt>
                <c:pt idx="9">
                  <c:v>-0.478279244759479</c:v>
                </c:pt>
                <c:pt idx="10">
                  <c:v>-1.00871397052145</c:v>
                </c:pt>
              </c:numCache>
            </c:numRef>
          </c:xVal>
          <c:yVal>
            <c:numRef>
              <c:f>PCA!$N$30:$N$40</c:f>
              <c:numCache>
                <c:formatCode>0.00;\(0.00\);\-</c:formatCode>
                <c:ptCount val="11"/>
                <c:pt idx="0">
                  <c:v>-0.53991744944105</c:v>
                </c:pt>
                <c:pt idx="1">
                  <c:v>-0.0298646261519164</c:v>
                </c:pt>
                <c:pt idx="2">
                  <c:v>-0.301883297203294</c:v>
                </c:pt>
                <c:pt idx="3">
                  <c:v>0.180247940705072</c:v>
                </c:pt>
                <c:pt idx="4">
                  <c:v>0.195164233138977</c:v>
                </c:pt>
                <c:pt idx="5">
                  <c:v>0.876890662090528</c:v>
                </c:pt>
                <c:pt idx="6">
                  <c:v>1.16666796787342</c:v>
                </c:pt>
                <c:pt idx="7">
                  <c:v>1.07742278185565</c:v>
                </c:pt>
                <c:pt idx="8">
                  <c:v>1.1835452087284</c:v>
                </c:pt>
                <c:pt idx="9">
                  <c:v>1.54504872521371</c:v>
                </c:pt>
                <c:pt idx="10">
                  <c:v>-0.261376430953642</c:v>
                </c:pt>
              </c:numCache>
            </c:numRef>
          </c:yVal>
          <c:smooth val="1"/>
        </c:ser>
        <c:axId val="7018799"/>
        <c:axId val="96136723"/>
      </c:scatterChart>
      <c:valAx>
        <c:axId val="70187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PC1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\(0.00\);\-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36723"/>
        <c:crosses val="autoZero"/>
        <c:crossBetween val="midCat"/>
      </c:valAx>
      <c:valAx>
        <c:axId val="96136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PC2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\(0.00\);\-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879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Regression: actual vs predicted FY24 reviews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"Train"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square"/>
            <c:size val="8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Regression!$D$6:$D$17</c:f>
              <c:numCache>
                <c:formatCode>#,##0</c:formatCode>
                <c:ptCount val="12"/>
                <c:pt idx="0">
                  <c:v>107</c:v>
                </c:pt>
                <c:pt idx="1">
                  <c:v>66</c:v>
                </c:pt>
                <c:pt idx="2">
                  <c:v>54</c:v>
                </c:pt>
                <c:pt idx="3">
                  <c:v>46</c:v>
                </c:pt>
                <c:pt idx="4">
                  <c:v>44</c:v>
                </c:pt>
                <c:pt idx="5">
                  <c:v>40</c:v>
                </c:pt>
                <c:pt idx="6">
                  <c:v>33</c:v>
                </c:pt>
                <c:pt idx="7">
                  <c:v>30</c:v>
                </c:pt>
                <c:pt idx="8">
                  <c:v>29</c:v>
                </c:pt>
                <c:pt idx="9">
                  <c:v>27</c:v>
                </c:pt>
                <c:pt idx="10">
                  <c:v>26</c:v>
                </c:pt>
                <c:pt idx="11">
                  <c:v>60</c:v>
                </c:pt>
              </c:numCache>
            </c:numRef>
          </c:xVal>
          <c:yVal>
            <c:numRef>
              <c:f>Regression!$E$6:$E$17</c:f>
              <c:numCache>
                <c:formatCode>#,##0.0</c:formatCode>
                <c:ptCount val="12"/>
                <c:pt idx="0">
                  <c:v>78.8419226008224</c:v>
                </c:pt>
                <c:pt idx="1">
                  <c:v>32.4662839401466</c:v>
                </c:pt>
                <c:pt idx="2">
                  <c:v>45.0143357607073</c:v>
                </c:pt>
                <c:pt idx="3">
                  <c:v>46.9237257604485</c:v>
                </c:pt>
                <c:pt idx="4">
                  <c:v>56.1988534925837</c:v>
                </c:pt>
                <c:pt idx="5">
                  <c:v>49.1053065897463</c:v>
                </c:pt>
                <c:pt idx="6">
                  <c:v>52.3800734931013</c:v>
                </c:pt>
                <c:pt idx="7">
                  <c:v>33.8323979697321</c:v>
                </c:pt>
                <c:pt idx="8">
                  <c:v>22.6434574820252</c:v>
                </c:pt>
                <c:pt idx="9">
                  <c:v>36.8316569766575</c:v>
                </c:pt>
                <c:pt idx="10">
                  <c:v>36.8316569766575</c:v>
                </c:pt>
                <c:pt idx="11">
                  <c:v>70.9303289573716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"Test"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rgbClr val="5b9bd5"/>
            </a:solidFill>
            <a:ln w="28440">
              <a:noFill/>
            </a:ln>
          </c:spPr>
          <c:marker>
            <c:symbol val="square"/>
            <c:size val="8"/>
            <c:spPr>
              <a:solidFill>
                <a:srgbClr val="5b9bd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Regression!$D$22:$D$25</c:f>
              <c:numCache>
                <c:formatCode>#,##0</c:formatCode>
                <c:ptCount val="4"/>
                <c:pt idx="0">
                  <c:v>167</c:v>
                </c:pt>
                <c:pt idx="1">
                  <c:v>165</c:v>
                </c:pt>
                <c:pt idx="2">
                  <c:v>47</c:v>
                </c:pt>
                <c:pt idx="3">
                  <c:v>20</c:v>
                </c:pt>
              </c:numCache>
            </c:numRef>
          </c:xVal>
          <c:yVal>
            <c:numRef>
              <c:f>Regression!$E$22:$E$25</c:f>
              <c:numCache>
                <c:formatCode>#,##0.0</c:formatCode>
                <c:ptCount val="4"/>
                <c:pt idx="0">
                  <c:v>203.237363118062</c:v>
                </c:pt>
                <c:pt idx="1">
                  <c:v>167.503703345079</c:v>
                </c:pt>
                <c:pt idx="2">
                  <c:v>52.1049341596576</c:v>
                </c:pt>
                <c:pt idx="3">
                  <c:v>35.7392080285721</c:v>
                </c:pt>
              </c:numCache>
            </c:numRef>
          </c:yVal>
          <c:smooth val="1"/>
        </c:ser>
        <c:axId val="53565935"/>
        <c:axId val="68604055"/>
      </c:scatterChart>
      <c:valAx>
        <c:axId val="535659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04055"/>
        <c:crosses val="autoZero"/>
        <c:crossBetween val="midCat"/>
      </c:valAx>
      <c:valAx>
        <c:axId val="68604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Predicted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6593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Silhouette score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Silhouette!Y5</c:f>
              <c:strCache>
                <c:ptCount val="1"/>
                <c:pt idx="0">
                  <c:v>Silhouette 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Silhouette!$A$6:$A$21</c:f>
              <c:strCache>
                <c:ptCount val="16"/>
                <c:pt idx="0">
                  <c:v>Mining</c:v>
                </c:pt>
                <c:pt idx="1">
                  <c:v>Energy</c:v>
                </c:pt>
                <c:pt idx="2">
                  <c:v>Social infrastructure</c:v>
                </c:pt>
                <c:pt idx="3">
                  <c:v>Nuclear</c:v>
                </c:pt>
                <c:pt idx="4">
                  <c:v>Defence</c:v>
                </c:pt>
                <c:pt idx="5">
                  <c:v>Agriculture</c:v>
                </c:pt>
                <c:pt idx="6">
                  <c:v>Manufacturing</c:v>
                </c:pt>
                <c:pt idx="7">
                  <c:v>Financial services</c:v>
                </c:pt>
                <c:pt idx="8">
                  <c:v>Gaming &amp; entertainment</c:v>
                </c:pt>
                <c:pt idx="9">
                  <c:v>Chemicals &amp; pharmaceuticals</c:v>
                </c:pt>
                <c:pt idx="10">
                  <c:v>Renewables</c:v>
                </c:pt>
                <c:pt idx="11">
                  <c:v>Forestry</c:v>
                </c:pt>
                <c:pt idx="12">
                  <c:v>Transport</c:v>
                </c:pt>
                <c:pt idx="13">
                  <c:v>Technology</c:v>
                </c:pt>
                <c:pt idx="14">
                  <c:v>Infrastructure</c:v>
                </c:pt>
                <c:pt idx="15">
                  <c:v>Other</c:v>
                </c:pt>
              </c:strCache>
            </c:strRef>
          </c:cat>
          <c:val>
            <c:numRef>
              <c:f>Silhouette!$Y$6:$Y$21</c:f>
              <c:numCache>
                <c:formatCode>0.00;\(0.00\);\-</c:formatCode>
                <c:ptCount val="16"/>
                <c:pt idx="0">
                  <c:v>0.426669526959014</c:v>
                </c:pt>
                <c:pt idx="1">
                  <c:v>0.487722128331001</c:v>
                </c:pt>
                <c:pt idx="2">
                  <c:v>0.0591563876755853</c:v>
                </c:pt>
                <c:pt idx="3">
                  <c:v>0.490961836919879</c:v>
                </c:pt>
                <c:pt idx="4">
                  <c:v>0.180308843737539</c:v>
                </c:pt>
                <c:pt idx="5">
                  <c:v>0.347437848590705</c:v>
                </c:pt>
                <c:pt idx="6">
                  <c:v>0.233070540879995</c:v>
                </c:pt>
                <c:pt idx="7">
                  <c:v>0.425722395451973</c:v>
                </c:pt>
                <c:pt idx="8">
                  <c:v>0.466374435858918</c:v>
                </c:pt>
                <c:pt idx="9">
                  <c:v>0.471822275901259</c:v>
                </c:pt>
                <c:pt idx="10">
                  <c:v>0.37025962305785</c:v>
                </c:pt>
                <c:pt idx="11">
                  <c:v>0.353813131054383</c:v>
                </c:pt>
                <c:pt idx="12">
                  <c:v>0.565752099759113</c:v>
                </c:pt>
                <c:pt idx="13">
                  <c:v>0.561149223504932</c:v>
                </c:pt>
                <c:pt idx="14">
                  <c:v>0.524347754290853</c:v>
                </c:pt>
                <c:pt idx="15">
                  <c:v>0.13935431920366</c:v>
                </c:pt>
              </c:numCache>
            </c:numRef>
          </c:val>
        </c:ser>
        <c:gapWidth val="150"/>
        <c:overlap val="0"/>
        <c:axId val="36296221"/>
        <c:axId val="12009820"/>
      </c:barChart>
      <c:catAx>
        <c:axId val="362962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09820"/>
        <c:crosses val="autoZero"/>
        <c:auto val="1"/>
        <c:lblAlgn val="ctr"/>
        <c:lblOffset val="100"/>
        <c:noMultiLvlLbl val="0"/>
      </c:catAx>
      <c:valAx>
        <c:axId val="12009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(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962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13</xdr:col>
      <xdr:colOff>364680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413568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20</xdr:row>
      <xdr:rowOff>160920</xdr:rowOff>
    </xdr:from>
    <xdr:to>
      <xdr:col>13</xdr:col>
      <xdr:colOff>364680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413568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39</xdr:row>
      <xdr:rowOff>160920</xdr:rowOff>
    </xdr:from>
    <xdr:to>
      <xdr:col>13</xdr:col>
      <xdr:colOff>364680</xdr:colOff>
      <xdr:row>58</xdr:row>
      <xdr:rowOff>140760</xdr:rowOff>
    </xdr:to>
    <xdr:graphicFrame>
      <xdr:nvGraphicFramePr>
        <xdr:cNvPr id="2" name="Chart 3"/>
        <xdr:cNvGraphicFramePr/>
      </xdr:nvGraphicFramePr>
      <xdr:xfrm>
        <a:off x="4135680" y="7620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3" customFormat="false" ht="15" hidden="false" customHeight="false" outlineLevel="0" collapsed="false">
      <c r="A3" s="5" t="s">
        <v>18</v>
      </c>
      <c r="B3" s="5" t="s">
        <v>19</v>
      </c>
    </row>
    <row r="4" customFormat="false" ht="15" hidden="false" customHeight="false" outlineLevel="0" collapsed="false">
      <c r="A4" s="3" t="s">
        <v>20</v>
      </c>
      <c r="B4" s="6" t="n">
        <f aca="false">PCA!T5</f>
        <v>0.598456032867971</v>
      </c>
    </row>
    <row r="5" customFormat="false" ht="15" hidden="false" customHeight="false" outlineLevel="0" collapsed="false">
      <c r="A5" s="3" t="s">
        <v>21</v>
      </c>
      <c r="B5" s="6" t="n">
        <f aca="false">PCA!U6</f>
        <v>0.849334754390134</v>
      </c>
    </row>
    <row r="6" customFormat="false" ht="15" hidden="false" customHeight="false" outlineLevel="0" collapsed="false">
      <c r="A6" s="3" t="s">
        <v>22</v>
      </c>
      <c r="B6" s="7" t="str">
        <f aca="false">KMeans!B70</f>
        <v>Yes</v>
      </c>
    </row>
    <row r="7" customFormat="false" ht="15" hidden="false" customHeight="false" outlineLevel="0" collapsed="false">
      <c r="A7" s="3" t="s">
        <v>23</v>
      </c>
      <c r="B7" s="8" t="n">
        <f aca="false">KMeans!B71</f>
        <v>18.6239644820226</v>
      </c>
    </row>
    <row r="8" customFormat="false" ht="15" hidden="false" customHeight="false" outlineLevel="0" collapsed="false">
      <c r="A8" s="3" t="s">
        <v>24</v>
      </c>
      <c r="B8" s="9" t="n">
        <f aca="false">Silhouette!Y23</f>
        <v>0.381495148198541</v>
      </c>
    </row>
    <row r="9" customFormat="false" ht="15" hidden="false" customHeight="false" outlineLevel="0" collapsed="false">
      <c r="A9" s="3" t="s">
        <v>25</v>
      </c>
      <c r="B9" s="7" t="str">
        <f aca="false">KMeans!B74&amp;" / "&amp;KMeans!B75&amp;" / "&amp;KMeans!B76</f>
        <v>3 / 2 / 11</v>
      </c>
    </row>
    <row r="10" customFormat="false" ht="15" hidden="false" customHeight="false" outlineLevel="0" collapsed="false">
      <c r="A10" s="3" t="s">
        <v>26</v>
      </c>
      <c r="B10" s="9" t="n">
        <f aca="false">Regression!K11</f>
        <v>0.491336689159522</v>
      </c>
    </row>
    <row r="11" customFormat="false" ht="15" hidden="false" customHeight="false" outlineLevel="0" collapsed="false">
      <c r="A11" s="3" t="s">
        <v>27</v>
      </c>
      <c r="B11" s="9" t="n">
        <f aca="false">Regression!K12</f>
        <v>0.378300397861638</v>
      </c>
    </row>
    <row r="12" customFormat="false" ht="15" hidden="false" customHeight="false" outlineLevel="0" collapsed="false">
      <c r="A12" s="3" t="s">
        <v>28</v>
      </c>
      <c r="B12" s="8" t="n">
        <f aca="false">Regression!B29</f>
        <v>19.9574424609689</v>
      </c>
    </row>
    <row r="13" customFormat="false" ht="15" hidden="false" customHeight="false" outlineLevel="0" collapsed="false">
      <c r="A13" s="3" t="s">
        <v>29</v>
      </c>
      <c r="B13" s="8" t="n">
        <f aca="false">Regression!C29</f>
        <v>44.6150198924084</v>
      </c>
    </row>
    <row r="14" customFormat="false" ht="15" hidden="false" customHeight="false" outlineLevel="0" collapsed="false">
      <c r="A14" s="3" t="s">
        <v>30</v>
      </c>
      <c r="B14" s="10" t="n">
        <f aca="false">Regression!B32</f>
        <v>0.552674356996873</v>
      </c>
    </row>
    <row r="15" customFormat="false" ht="15" hidden="false" customHeight="false" outlineLevel="0" collapsed="false">
      <c r="A15" s="3" t="s">
        <v>31</v>
      </c>
      <c r="B15" s="11" t="n">
        <f aca="false">COUNTIF(Regression!H6:H17,"Anomaly")+COUNTIF(Regression!J22:J25,"Anomaly")</f>
        <v>3</v>
      </c>
    </row>
    <row r="17" customFormat="false" ht="15" hidden="false" customHeight="true" outlineLevel="0" collapsed="false">
      <c r="A17" s="12" t="s">
        <v>32</v>
      </c>
      <c r="B17" s="12"/>
    </row>
    <row r="18" customFormat="false" ht="15" hidden="false" customHeight="false" outlineLevel="0" collapsed="false">
      <c r="A18" s="12"/>
      <c r="B18" s="12"/>
    </row>
    <row r="19" customFormat="false" ht="15" hidden="false" customHeight="false" outlineLevel="0" collapsed="false">
      <c r="A19" s="12"/>
      <c r="B19" s="12"/>
    </row>
  </sheetData>
  <mergeCells count="1">
    <mergeCell ref="A17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  <c r="B3" s="5" t="s">
        <v>19</v>
      </c>
      <c r="C3" s="5" t="s">
        <v>35</v>
      </c>
    </row>
    <row r="4" customFormat="false" ht="15" hidden="false" customHeight="false" outlineLevel="0" collapsed="false">
      <c r="A4" s="3" t="s">
        <v>36</v>
      </c>
      <c r="B4" s="13" t="s">
        <v>37</v>
      </c>
      <c r="C4" s="4" t="s">
        <v>38</v>
      </c>
    </row>
    <row r="5" customFormat="false" ht="15" hidden="false" customHeight="false" outlineLevel="0" collapsed="false">
      <c r="A5" s="3" t="s">
        <v>39</v>
      </c>
      <c r="B5" s="13" t="s">
        <v>40</v>
      </c>
      <c r="C5" s="4" t="s">
        <v>41</v>
      </c>
    </row>
    <row r="6" customFormat="false" ht="15" hidden="false" customHeight="false" outlineLevel="0" collapsed="false">
      <c r="A6" s="3" t="s">
        <v>42</v>
      </c>
      <c r="B6" s="13" t="s">
        <v>43</v>
      </c>
      <c r="C6" s="4" t="s">
        <v>44</v>
      </c>
    </row>
    <row r="7" customFormat="false" ht="15" hidden="false" customHeight="false" outlineLevel="0" collapsed="false">
      <c r="A7" s="3" t="s">
        <v>45</v>
      </c>
      <c r="B7" s="14" t="n">
        <v>1.5</v>
      </c>
      <c r="C7" s="4" t="s">
        <v>46</v>
      </c>
    </row>
    <row r="9" customFormat="false" ht="15" hidden="false" customHeight="false" outlineLevel="0" collapsed="false">
      <c r="A9" s="4" t="s">
        <v>47</v>
      </c>
    </row>
  </sheetData>
  <dataValidations count="1">
    <dataValidation allowBlank="false" errorStyle="stop" operator="between" showDropDown="false" showErrorMessage="false" showInputMessage="false" sqref="B4:B6" type="list">
      <formula1>Data!$A$5:$A$20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4" t="s">
        <v>49</v>
      </c>
    </row>
    <row r="3" customFormat="false" ht="15" hidden="false" customHeight="false" outlineLevel="0" collapsed="false">
      <c r="A3" s="2" t="s">
        <v>50</v>
      </c>
    </row>
    <row r="4" customFormat="false" ht="15" hidden="false" customHeight="false" outlineLevel="0" collapsed="false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</row>
    <row r="5" customFormat="false" ht="15" hidden="false" customHeight="false" outlineLevel="0" collapsed="false">
      <c r="A5" s="3" t="s">
        <v>37</v>
      </c>
      <c r="B5" s="15" t="n">
        <v>215</v>
      </c>
      <c r="C5" s="15" t="n">
        <v>249</v>
      </c>
      <c r="D5" s="15" t="n">
        <v>167</v>
      </c>
      <c r="E5" s="4" t="s">
        <v>56</v>
      </c>
    </row>
    <row r="6" customFormat="false" ht="15" hidden="false" customHeight="false" outlineLevel="0" collapsed="false">
      <c r="A6" s="3" t="s">
        <v>57</v>
      </c>
      <c r="B6" s="15" t="n">
        <v>192</v>
      </c>
      <c r="C6" s="15" t="n">
        <v>195</v>
      </c>
      <c r="D6" s="15" t="n">
        <v>165</v>
      </c>
      <c r="E6" s="4" t="s">
        <v>58</v>
      </c>
    </row>
    <row r="7" customFormat="false" ht="15" hidden="false" customHeight="false" outlineLevel="0" collapsed="false">
      <c r="A7" s="3" t="s">
        <v>59</v>
      </c>
      <c r="B7" s="15" t="n">
        <v>83</v>
      </c>
      <c r="C7" s="15" t="n">
        <v>87</v>
      </c>
      <c r="D7" s="15" t="n">
        <v>107</v>
      </c>
      <c r="E7" s="4" t="s">
        <v>60</v>
      </c>
    </row>
    <row r="8" customFormat="false" ht="15" hidden="false" customHeight="false" outlineLevel="0" collapsed="false">
      <c r="A8" s="3" t="s">
        <v>40</v>
      </c>
      <c r="B8" s="15" t="n">
        <v>33</v>
      </c>
      <c r="C8" s="15" t="n">
        <v>27</v>
      </c>
      <c r="D8" s="15" t="n">
        <v>66</v>
      </c>
      <c r="E8" s="4" t="s">
        <v>61</v>
      </c>
    </row>
    <row r="9" customFormat="false" ht="15" hidden="false" customHeight="false" outlineLevel="0" collapsed="false">
      <c r="A9" s="3" t="s">
        <v>62</v>
      </c>
      <c r="B9" s="15" t="n">
        <v>43</v>
      </c>
      <c r="C9" s="15" t="n">
        <v>45</v>
      </c>
      <c r="D9" s="15" t="n">
        <v>54</v>
      </c>
      <c r="E9" s="4" t="s">
        <v>63</v>
      </c>
    </row>
    <row r="10" customFormat="false" ht="15" hidden="false" customHeight="false" outlineLevel="0" collapsed="false">
      <c r="A10" s="3" t="s">
        <v>64</v>
      </c>
      <c r="B10" s="15" t="n">
        <v>39</v>
      </c>
      <c r="C10" s="15" t="n">
        <v>60</v>
      </c>
      <c r="D10" s="15" t="n">
        <v>47</v>
      </c>
      <c r="E10" s="4" t="s">
        <v>65</v>
      </c>
    </row>
    <row r="11" customFormat="false" ht="15" hidden="false" customHeight="false" outlineLevel="0" collapsed="false">
      <c r="A11" s="3" t="s">
        <v>66</v>
      </c>
      <c r="B11" s="15" t="n">
        <v>44</v>
      </c>
      <c r="C11" s="15" t="n">
        <v>48</v>
      </c>
      <c r="D11" s="15" t="n">
        <v>46</v>
      </c>
      <c r="E11" s="4" t="s">
        <v>67</v>
      </c>
    </row>
    <row r="12" customFormat="false" ht="15" hidden="false" customHeight="false" outlineLevel="0" collapsed="false">
      <c r="A12" s="3" t="s">
        <v>68</v>
      </c>
      <c r="B12" s="15" t="n">
        <v>54</v>
      </c>
      <c r="C12" s="15" t="n">
        <v>60</v>
      </c>
      <c r="D12" s="15" t="n">
        <v>44</v>
      </c>
      <c r="E12" s="4" t="s">
        <v>69</v>
      </c>
    </row>
    <row r="13" customFormat="false" ht="15" hidden="false" customHeight="false" outlineLevel="0" collapsed="false">
      <c r="A13" s="3" t="s">
        <v>70</v>
      </c>
      <c r="B13" s="15" t="n">
        <v>42</v>
      </c>
      <c r="C13" s="15" t="n">
        <v>53</v>
      </c>
      <c r="D13" s="15" t="n">
        <v>40</v>
      </c>
      <c r="E13" s="4" t="s">
        <v>71</v>
      </c>
    </row>
    <row r="14" customFormat="false" ht="15" hidden="false" customHeight="false" outlineLevel="0" collapsed="false">
      <c r="A14" s="3" t="s">
        <v>72</v>
      </c>
      <c r="B14" s="15" t="n">
        <v>52</v>
      </c>
      <c r="C14" s="15" t="n">
        <v>54</v>
      </c>
      <c r="D14" s="15" t="n">
        <v>33</v>
      </c>
      <c r="E14" s="4" t="s">
        <v>73</v>
      </c>
    </row>
    <row r="15" customFormat="false" ht="15" hidden="false" customHeight="false" outlineLevel="0" collapsed="false">
      <c r="A15" s="3" t="s">
        <v>74</v>
      </c>
      <c r="B15" s="15" t="n">
        <v>46</v>
      </c>
      <c r="C15" s="15" t="n">
        <v>23</v>
      </c>
      <c r="D15" s="15" t="n">
        <v>30</v>
      </c>
      <c r="E15" s="4" t="s">
        <v>75</v>
      </c>
    </row>
    <row r="16" customFormat="false" ht="15" hidden="false" customHeight="false" outlineLevel="0" collapsed="false">
      <c r="A16" s="3" t="s">
        <v>76</v>
      </c>
      <c r="B16" s="15" t="n">
        <v>11</v>
      </c>
      <c r="C16" s="15" t="n">
        <v>20</v>
      </c>
      <c r="D16" s="15" t="n">
        <v>29</v>
      </c>
      <c r="E16" s="4" t="s">
        <v>77</v>
      </c>
    </row>
    <row r="17" customFormat="false" ht="15" hidden="false" customHeight="false" outlineLevel="0" collapsed="false">
      <c r="A17" s="3" t="s">
        <v>78</v>
      </c>
      <c r="B17" s="15" t="n">
        <v>41</v>
      </c>
      <c r="C17" s="15" t="n">
        <v>31</v>
      </c>
      <c r="D17" s="15" t="n">
        <v>27</v>
      </c>
      <c r="E17" s="4" t="s">
        <v>79</v>
      </c>
    </row>
    <row r="18" customFormat="false" ht="15" hidden="false" customHeight="false" outlineLevel="0" collapsed="false">
      <c r="A18" s="3" t="s">
        <v>43</v>
      </c>
      <c r="B18" s="15" t="n">
        <v>41</v>
      </c>
      <c r="C18" s="15" t="n">
        <v>31</v>
      </c>
      <c r="D18" s="15" t="n">
        <v>26</v>
      </c>
      <c r="E18" s="4" t="s">
        <v>80</v>
      </c>
    </row>
    <row r="19" customFormat="false" ht="15" hidden="false" customHeight="false" outlineLevel="0" collapsed="false">
      <c r="A19" s="3" t="s">
        <v>81</v>
      </c>
      <c r="B19" s="15" t="n">
        <v>33</v>
      </c>
      <c r="C19" s="15" t="n">
        <v>33</v>
      </c>
      <c r="D19" s="15" t="n">
        <v>20</v>
      </c>
      <c r="E19" s="4" t="s">
        <v>82</v>
      </c>
    </row>
    <row r="20" customFormat="false" ht="15" hidden="false" customHeight="false" outlineLevel="0" collapsed="false">
      <c r="A20" s="3" t="s">
        <v>83</v>
      </c>
      <c r="B20" s="15" t="n">
        <v>72</v>
      </c>
      <c r="C20" s="15" t="n">
        <v>78</v>
      </c>
      <c r="D20" s="15" t="n">
        <v>60</v>
      </c>
      <c r="E20" s="4" t="s">
        <v>84</v>
      </c>
    </row>
    <row r="21" customFormat="false" ht="15" hidden="false" customHeight="false" outlineLevel="0" collapsed="false">
      <c r="A21" s="2" t="s">
        <v>85</v>
      </c>
      <c r="B21" s="16" t="n">
        <f aca="false">SUM(B5:B20)</f>
        <v>1041</v>
      </c>
      <c r="C21" s="16" t="n">
        <f aca="false">SUM(C5:C20)</f>
        <v>1094</v>
      </c>
      <c r="D21" s="16" t="n">
        <f aca="false">SUM(D5:D20)</f>
        <v>961</v>
      </c>
    </row>
    <row r="22" customFormat="false" ht="15" hidden="false" customHeight="false" outlineLevel="0" collapsed="false">
      <c r="A22" s="3" t="s">
        <v>86</v>
      </c>
      <c r="B22" s="15" t="n">
        <v>1041</v>
      </c>
      <c r="C22" s="15" t="n">
        <v>1094</v>
      </c>
      <c r="D22" s="15" t="n">
        <v>961</v>
      </c>
      <c r="E22" s="4" t="s">
        <v>87</v>
      </c>
    </row>
    <row r="23" customFormat="false" ht="15" hidden="false" customHeight="false" outlineLevel="0" collapsed="false">
      <c r="A23" s="3" t="s">
        <v>88</v>
      </c>
      <c r="B23" s="17" t="n">
        <f aca="false">B21-B22</f>
        <v>0</v>
      </c>
      <c r="C23" s="17" t="n">
        <f aca="false">C21-C22</f>
        <v>0</v>
      </c>
      <c r="D23" s="17" t="n">
        <f aca="false">D21-D22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4" t="s">
        <v>90</v>
      </c>
    </row>
    <row r="4" customFormat="false" ht="15" hidden="false" customHeight="false" outlineLevel="0" collapsed="false">
      <c r="A4" s="2" t="s">
        <v>91</v>
      </c>
      <c r="B4" s="18" t="n">
        <v>1</v>
      </c>
      <c r="C4" s="18" t="n">
        <v>2</v>
      </c>
      <c r="D4" s="18" t="n">
        <v>3</v>
      </c>
    </row>
    <row r="5" customFormat="false" ht="31.5" hidden="false" customHeight="true" outlineLevel="0" collapsed="false">
      <c r="A5" s="5" t="s">
        <v>51</v>
      </c>
      <c r="B5" s="5" t="s">
        <v>52</v>
      </c>
      <c r="C5" s="5" t="s">
        <v>53</v>
      </c>
      <c r="D5" s="5" t="s">
        <v>54</v>
      </c>
      <c r="E5" s="5" t="s">
        <v>92</v>
      </c>
      <c r="F5" s="5" t="s">
        <v>93</v>
      </c>
      <c r="G5" s="5" t="s">
        <v>94</v>
      </c>
      <c r="H5" s="5" t="s">
        <v>95</v>
      </c>
      <c r="I5" s="5" t="s">
        <v>96</v>
      </c>
      <c r="J5" s="5" t="s">
        <v>97</v>
      </c>
      <c r="K5" s="5" t="s">
        <v>98</v>
      </c>
      <c r="L5" s="5" t="s">
        <v>99</v>
      </c>
    </row>
    <row r="6" customFormat="false" ht="15" hidden="false" customHeight="false" outlineLevel="0" collapsed="false">
      <c r="A6" s="19" t="str">
        <f aca="false">Data!A5</f>
        <v>Mining</v>
      </c>
      <c r="B6" s="20" t="n">
        <f aca="false">Data!B5</f>
        <v>215</v>
      </c>
      <c r="C6" s="20" t="n">
        <f aca="false">Data!C5</f>
        <v>249</v>
      </c>
      <c r="D6" s="20" t="n">
        <f aca="false">Data!D5</f>
        <v>167</v>
      </c>
      <c r="E6" s="21" t="n">
        <f aca="false">LN(AVERAGE(B6:D6))</f>
        <v>5.3486935738731</v>
      </c>
      <c r="F6" s="22" t="n">
        <f aca="false">IF(C6=0,0,D6/C6-1)</f>
        <v>-0.329317269076305</v>
      </c>
      <c r="G6" s="21" t="n">
        <f aca="false">STDEV(B6:D6)/AVERAGE(B6:D6)</f>
        <v>0.195873401654268</v>
      </c>
      <c r="H6" s="23" t="n">
        <f aca="false">SLOPE(B6:D6,$B$4:$D$4)/AVERAGE(B6:D6)</f>
        <v>-0.114104595879556</v>
      </c>
      <c r="I6" s="24" t="n">
        <f aca="false">(E6-E$22)/E$23</f>
        <v>2.22821656278526</v>
      </c>
      <c r="J6" s="24" t="n">
        <f aca="false">(F6-F$22)/F$23</f>
        <v>-0.723945273197262</v>
      </c>
      <c r="K6" s="24" t="n">
        <f aca="false">(G6-G$22)/G$23</f>
        <v>-0.193926958061699</v>
      </c>
      <c r="L6" s="24" t="n">
        <f aca="false">(H6-H$22)/H$23</f>
        <v>-0.446075806924889</v>
      </c>
    </row>
    <row r="7" customFormat="false" ht="15" hidden="false" customHeight="false" outlineLevel="0" collapsed="false">
      <c r="A7" s="19" t="str">
        <f aca="false">Data!A6</f>
        <v>Energy</v>
      </c>
      <c r="B7" s="20" t="n">
        <f aca="false">Data!B6</f>
        <v>192</v>
      </c>
      <c r="C7" s="20" t="n">
        <f aca="false">Data!C6</f>
        <v>195</v>
      </c>
      <c r="D7" s="20" t="n">
        <f aca="false">Data!D6</f>
        <v>165</v>
      </c>
      <c r="E7" s="21" t="n">
        <f aca="false">LN(AVERAGE(B7:D7))</f>
        <v>5.21493575760899</v>
      </c>
      <c r="F7" s="22" t="n">
        <f aca="false">IF(C7=0,0,D7/C7-1)</f>
        <v>-0.153846153846154</v>
      </c>
      <c r="G7" s="21" t="n">
        <f aca="false">STDEV(B7:D7)/AVERAGE(B7:D7)</f>
        <v>0.0897973458796647</v>
      </c>
      <c r="H7" s="23" t="n">
        <f aca="false">SLOPE(B7:D7,$B$4:$D$4)/AVERAGE(B7:D7)</f>
        <v>-0.0733695652173913</v>
      </c>
      <c r="I7" s="24" t="n">
        <f aca="false">(E7-E$22)/E$23</f>
        <v>2.01623553922249</v>
      </c>
      <c r="J7" s="24" t="n">
        <f aca="false">(F7-F$22)/F$23</f>
        <v>-0.343354182276981</v>
      </c>
      <c r="K7" s="24" t="n">
        <f aca="false">(G7-G$22)/G$23</f>
        <v>-1.0432510568313</v>
      </c>
      <c r="L7" s="24" t="n">
        <f aca="false">(H7-H$22)/H$23</f>
        <v>-0.253836524427268</v>
      </c>
    </row>
    <row r="8" customFormat="false" ht="15" hidden="false" customHeight="false" outlineLevel="0" collapsed="false">
      <c r="A8" s="19" t="str">
        <f aca="false">Data!A7</f>
        <v>Social infrastructure</v>
      </c>
      <c r="B8" s="20" t="n">
        <f aca="false">Data!B7</f>
        <v>83</v>
      </c>
      <c r="C8" s="20" t="n">
        <f aca="false">Data!C7</f>
        <v>87</v>
      </c>
      <c r="D8" s="20" t="n">
        <f aca="false">Data!D7</f>
        <v>107</v>
      </c>
      <c r="E8" s="21" t="n">
        <f aca="false">LN(AVERAGE(B8:D8))</f>
        <v>4.52540521751923</v>
      </c>
      <c r="F8" s="22" t="n">
        <f aca="false">IF(C8=0,0,D8/C8-1)</f>
        <v>0.229885057471264</v>
      </c>
      <c r="G8" s="21" t="n">
        <f aca="false">STDEV(B8:D8)/AVERAGE(B8:D8)</f>
        <v>0.139258494743581</v>
      </c>
      <c r="H8" s="23" t="n">
        <f aca="false">SLOPE(B8:D8,$B$4:$D$4)/AVERAGE(B8:D8)</f>
        <v>0.129963898916968</v>
      </c>
      <c r="I8" s="24" t="n">
        <f aca="false">(E8-E$22)/E$23</f>
        <v>0.923459103807377</v>
      </c>
      <c r="J8" s="24" t="n">
        <f aca="false">(F8-F$22)/F$23</f>
        <v>0.488946223085475</v>
      </c>
      <c r="K8" s="24" t="n">
        <f aca="false">(G8-G$22)/G$23</f>
        <v>-0.647228171400712</v>
      </c>
      <c r="L8" s="24" t="n">
        <f aca="false">(H8-H$22)/H$23</f>
        <v>0.705747367312645</v>
      </c>
    </row>
    <row r="9" customFormat="false" ht="15" hidden="false" customHeight="false" outlineLevel="0" collapsed="false">
      <c r="A9" s="19" t="str">
        <f aca="false">Data!A8</f>
        <v>Nuclear</v>
      </c>
      <c r="B9" s="20" t="n">
        <f aca="false">Data!B8</f>
        <v>33</v>
      </c>
      <c r="C9" s="20" t="n">
        <f aca="false">Data!C8</f>
        <v>27</v>
      </c>
      <c r="D9" s="20" t="n">
        <f aca="false">Data!D8</f>
        <v>66</v>
      </c>
      <c r="E9" s="21" t="n">
        <f aca="false">LN(AVERAGE(B9:D9))</f>
        <v>3.73766961828337</v>
      </c>
      <c r="F9" s="22" t="n">
        <f aca="false">IF(C9=0,0,D9/C9-1)</f>
        <v>1.44444444444444</v>
      </c>
      <c r="G9" s="21" t="n">
        <f aca="false">STDEV(B9:D9)/AVERAGE(B9:D9)</f>
        <v>0.5</v>
      </c>
      <c r="H9" s="23" t="n">
        <f aca="false">SLOPE(B9:D9,$B$4:$D$4)/AVERAGE(B9:D9)</f>
        <v>0.392857142857143</v>
      </c>
      <c r="I9" s="24" t="n">
        <f aca="false">(E9-E$22)/E$23</f>
        <v>-0.324953910749598</v>
      </c>
      <c r="J9" s="24" t="n">
        <f aca="false">(F9-F$22)/F$23</f>
        <v>3.12328567815359</v>
      </c>
      <c r="K9" s="24" t="n">
        <f aca="false">(G9-G$22)/G$23</f>
        <v>2.24113764879651</v>
      </c>
      <c r="L9" s="24" t="n">
        <f aca="false">(H9-H$22)/H$23</f>
        <v>1.94640946494725</v>
      </c>
    </row>
    <row r="10" customFormat="false" ht="15" hidden="false" customHeight="false" outlineLevel="0" collapsed="false">
      <c r="A10" s="19" t="str">
        <f aca="false">Data!A9</f>
        <v>Defence</v>
      </c>
      <c r="B10" s="20" t="n">
        <f aca="false">Data!B9</f>
        <v>43</v>
      </c>
      <c r="C10" s="20" t="n">
        <f aca="false">Data!C9</f>
        <v>45</v>
      </c>
      <c r="D10" s="20" t="n">
        <f aca="false">Data!D9</f>
        <v>54</v>
      </c>
      <c r="E10" s="21" t="n">
        <f aca="false">LN(AVERAGE(B10:D10))</f>
        <v>3.85721476893315</v>
      </c>
      <c r="F10" s="22" t="n">
        <f aca="false">IF(C10=0,0,D10/C10-1)</f>
        <v>0.2</v>
      </c>
      <c r="G10" s="21" t="n">
        <f aca="false">STDEV(B10:D10)/AVERAGE(B10:D10)</f>
        <v>0.123791519938359</v>
      </c>
      <c r="H10" s="23" t="n">
        <f aca="false">SLOPE(B10:D10,$B$4:$D$4)/AVERAGE(B10:D10)</f>
        <v>0.116197183098592</v>
      </c>
      <c r="I10" s="24" t="n">
        <f aca="false">(E10-E$22)/E$23</f>
        <v>-0.135497293525323</v>
      </c>
      <c r="J10" s="24" t="n">
        <f aca="false">(F10-F$22)/F$23</f>
        <v>0.424126514096418</v>
      </c>
      <c r="K10" s="24" t="n">
        <f aca="false">(G10-G$22)/G$23</f>
        <v>-0.771068319313549</v>
      </c>
      <c r="L10" s="24" t="n">
        <f aca="false">(H10-H$22)/H$23</f>
        <v>0.640778628410201</v>
      </c>
    </row>
    <row r="11" customFormat="false" ht="15" hidden="false" customHeight="false" outlineLevel="0" collapsed="false">
      <c r="A11" s="19" t="str">
        <f aca="false">Data!A10</f>
        <v>Agriculture</v>
      </c>
      <c r="B11" s="20" t="n">
        <f aca="false">Data!B10</f>
        <v>39</v>
      </c>
      <c r="C11" s="20" t="n">
        <f aca="false">Data!C10</f>
        <v>60</v>
      </c>
      <c r="D11" s="20" t="n">
        <f aca="false">Data!D10</f>
        <v>47</v>
      </c>
      <c r="E11" s="21" t="n">
        <f aca="false">LN(AVERAGE(B11:D11))</f>
        <v>3.88499433304023</v>
      </c>
      <c r="F11" s="22" t="n">
        <f aca="false">IF(C11=0,0,D11/C11-1)</f>
        <v>-0.216666666666667</v>
      </c>
      <c r="G11" s="21" t="n">
        <f aca="false">STDEV(B11:D11)/AVERAGE(B11:D11)</f>
        <v>0.217782371172392</v>
      </c>
      <c r="H11" s="23" t="n">
        <f aca="false">SLOPE(B11:D11,$B$4:$D$4)/AVERAGE(B11:D11)</f>
        <v>0.0821917808219178</v>
      </c>
      <c r="I11" s="24" t="n">
        <f aca="false">(E11-E$22)/E$23</f>
        <v>-0.091471900482741</v>
      </c>
      <c r="J11" s="24" t="n">
        <f aca="false">(F11-F$22)/F$23</f>
        <v>-0.479609813154867</v>
      </c>
      <c r="K11" s="24" t="n">
        <f aca="false">(G11-G$22)/G$23</f>
        <v>-0.0185073908929229</v>
      </c>
      <c r="L11" s="24" t="n">
        <f aca="false">(H11-H$22)/H$23</f>
        <v>0.480298225463493</v>
      </c>
    </row>
    <row r="12" customFormat="false" ht="15" hidden="false" customHeight="false" outlineLevel="0" collapsed="false">
      <c r="A12" s="19" t="str">
        <f aca="false">Data!A11</f>
        <v>Manufacturing</v>
      </c>
      <c r="B12" s="20" t="n">
        <f aca="false">Data!B11</f>
        <v>44</v>
      </c>
      <c r="C12" s="20" t="n">
        <f aca="false">Data!C11</f>
        <v>48</v>
      </c>
      <c r="D12" s="20" t="n">
        <f aca="false">Data!D11</f>
        <v>46</v>
      </c>
      <c r="E12" s="21" t="n">
        <f aca="false">LN(AVERAGE(B12:D12))</f>
        <v>3.8286413964891</v>
      </c>
      <c r="F12" s="22" t="n">
        <f aca="false">IF(C12=0,0,D12/C12-1)</f>
        <v>-0.0416666666666666</v>
      </c>
      <c r="G12" s="21" t="n">
        <f aca="false">STDEV(B12:D12)/AVERAGE(B12:D12)</f>
        <v>0.0434782608695652</v>
      </c>
      <c r="H12" s="23" t="n">
        <f aca="false">SLOPE(B12:D12,$B$4:$D$4)/AVERAGE(B12:D12)</f>
        <v>0.0217391304347826</v>
      </c>
      <c r="I12" s="24" t="n">
        <f aca="false">(E12-E$22)/E$23</f>
        <v>-0.180780723731533</v>
      </c>
      <c r="J12" s="24" t="n">
        <f aca="false">(F12-F$22)/F$23</f>
        <v>-0.100040555709327</v>
      </c>
      <c r="K12" s="24" t="n">
        <f aca="false">(G12-G$22)/G$23</f>
        <v>-1.41411623318766</v>
      </c>
      <c r="L12" s="24" t="n">
        <f aca="false">(H12-H$22)/H$23</f>
        <v>0.19500632935854</v>
      </c>
    </row>
    <row r="13" customFormat="false" ht="15" hidden="false" customHeight="false" outlineLevel="0" collapsed="false">
      <c r="A13" s="19" t="str">
        <f aca="false">Data!A12</f>
        <v>Financial services</v>
      </c>
      <c r="B13" s="20" t="n">
        <f aca="false">Data!B12</f>
        <v>54</v>
      </c>
      <c r="C13" s="20" t="n">
        <f aca="false">Data!C12</f>
        <v>60</v>
      </c>
      <c r="D13" s="20" t="n">
        <f aca="false">Data!D12</f>
        <v>44</v>
      </c>
      <c r="E13" s="21" t="n">
        <f aca="false">LN(AVERAGE(B13:D13))</f>
        <v>3.96398274435886</v>
      </c>
      <c r="F13" s="22" t="n">
        <f aca="false">IF(C13=0,0,D13/C13-1)</f>
        <v>-0.266666666666667</v>
      </c>
      <c r="G13" s="21" t="n">
        <f aca="false">STDEV(B13:D13)/AVERAGE(B13:D13)</f>
        <v>0.153472856366863</v>
      </c>
      <c r="H13" s="23" t="n">
        <f aca="false">SLOPE(B13:D13,$B$4:$D$4)/AVERAGE(B13:D13)</f>
        <v>-0.0949367088607595</v>
      </c>
      <c r="I13" s="24" t="n">
        <f aca="false">(E13-E$22)/E$23</f>
        <v>0.0337099000922409</v>
      </c>
      <c r="J13" s="24" t="n">
        <f aca="false">(F13-F$22)/F$23</f>
        <v>-0.588058172425021</v>
      </c>
      <c r="K13" s="24" t="n">
        <f aca="false">(G13-G$22)/G$23</f>
        <v>-0.533417379821774</v>
      </c>
      <c r="L13" s="24" t="n">
        <f aca="false">(H13-H$22)/H$23</f>
        <v>-0.355617525990994</v>
      </c>
    </row>
    <row r="14" customFormat="false" ht="15" hidden="false" customHeight="false" outlineLevel="0" collapsed="false">
      <c r="A14" s="19" t="str">
        <f aca="false">Data!A13</f>
        <v>Gaming &amp; entertainment</v>
      </c>
      <c r="B14" s="20" t="n">
        <f aca="false">Data!B13</f>
        <v>42</v>
      </c>
      <c r="C14" s="20" t="n">
        <f aca="false">Data!C13</f>
        <v>53</v>
      </c>
      <c r="D14" s="20" t="n">
        <f aca="false">Data!D13</f>
        <v>40</v>
      </c>
      <c r="E14" s="21" t="n">
        <f aca="false">LN(AVERAGE(B14:D14))</f>
        <v>3.80666248977032</v>
      </c>
      <c r="F14" s="22" t="n">
        <f aca="false">IF(C14=0,0,D14/C14-1)</f>
        <v>-0.245283018867924</v>
      </c>
      <c r="G14" s="21" t="n">
        <f aca="false">STDEV(B14:D14)/AVERAGE(B14:D14)</f>
        <v>0.155555555555556</v>
      </c>
      <c r="H14" s="23" t="n">
        <f aca="false">SLOPE(B14:D14,$B$4:$D$4)/AVERAGE(B14:D14)</f>
        <v>-0.0222222222222222</v>
      </c>
      <c r="I14" s="24" t="n">
        <f aca="false">(E14-E$22)/E$23</f>
        <v>-0.215613163981878</v>
      </c>
      <c r="J14" s="24" t="n">
        <f aca="false">(F14-F$22)/F$23</f>
        <v>-0.541677742045333</v>
      </c>
      <c r="K14" s="24" t="n">
        <f aca="false">(G14-G$22)/G$23</f>
        <v>-0.516741735176732</v>
      </c>
      <c r="L14" s="24" t="n">
        <f aca="false">(H14-H$22)/H$23</f>
        <v>-0.0124588119468999</v>
      </c>
    </row>
    <row r="15" customFormat="false" ht="15" hidden="false" customHeight="false" outlineLevel="0" collapsed="false">
      <c r="A15" s="19" t="str">
        <f aca="false">Data!A14</f>
        <v>Chemicals &amp; pharmaceuticals</v>
      </c>
      <c r="B15" s="20" t="n">
        <f aca="false">Data!B14</f>
        <v>52</v>
      </c>
      <c r="C15" s="20" t="n">
        <f aca="false">Data!C14</f>
        <v>54</v>
      </c>
      <c r="D15" s="20" t="n">
        <f aca="false">Data!D14</f>
        <v>33</v>
      </c>
      <c r="E15" s="21" t="n">
        <f aca="false">LN(AVERAGE(B15:D15))</f>
        <v>3.83586164446258</v>
      </c>
      <c r="F15" s="22" t="n">
        <f aca="false">IF(C15=0,0,D15/C15-1)</f>
        <v>-0.388888888888889</v>
      </c>
      <c r="G15" s="21" t="n">
        <f aca="false">STDEV(B15:D15)/AVERAGE(B15:D15)</f>
        <v>0.250148757564226</v>
      </c>
      <c r="H15" s="23" t="n">
        <f aca="false">SLOPE(B15:D15,$B$4:$D$4)/AVERAGE(B15:D15)</f>
        <v>-0.205035971223022</v>
      </c>
      <c r="I15" s="24" t="n">
        <f aca="false">(E15-E$22)/E$23</f>
        <v>-0.169337986413106</v>
      </c>
      <c r="J15" s="24" t="n">
        <f aca="false">(F15-F$22)/F$23</f>
        <v>-0.853154161752065</v>
      </c>
      <c r="K15" s="24" t="n">
        <f aca="false">(G15-G$22)/G$23</f>
        <v>0.2406420632599</v>
      </c>
      <c r="L15" s="24" t="n">
        <f aca="false">(H15-H$22)/H$23</f>
        <v>-0.875204791692925</v>
      </c>
    </row>
    <row r="16" customFormat="false" ht="15" hidden="false" customHeight="false" outlineLevel="0" collapsed="false">
      <c r="A16" s="19" t="str">
        <f aca="false">Data!A15</f>
        <v>Renewables</v>
      </c>
      <c r="B16" s="20" t="n">
        <f aca="false">Data!B15</f>
        <v>46</v>
      </c>
      <c r="C16" s="20" t="n">
        <f aca="false">Data!C15</f>
        <v>23</v>
      </c>
      <c r="D16" s="20" t="n">
        <f aca="false">Data!D15</f>
        <v>30</v>
      </c>
      <c r="E16" s="21" t="n">
        <f aca="false">LN(AVERAGE(B16:D16))</f>
        <v>3.49650756146648</v>
      </c>
      <c r="F16" s="22" t="n">
        <f aca="false">IF(C16=0,0,D16/C16-1)</f>
        <v>0.304347826086957</v>
      </c>
      <c r="G16" s="21" t="n">
        <f aca="false">STDEV(B16:D16)/AVERAGE(B16:D16)</f>
        <v>0.357267458259139</v>
      </c>
      <c r="H16" s="23" t="n">
        <f aca="false">SLOPE(B16:D16,$B$4:$D$4)/AVERAGE(B16:D16)</f>
        <v>-0.242424242424242</v>
      </c>
      <c r="I16" s="24" t="n">
        <f aca="false">(E16-E$22)/E$23</f>
        <v>-0.70715048868715</v>
      </c>
      <c r="J16" s="24" t="n">
        <f aca="false">(F16-F$22)/F$23</f>
        <v>0.650453524747174</v>
      </c>
      <c r="K16" s="24" t="n">
        <f aca="false">(G16-G$22)/G$23</f>
        <v>1.09831435569878</v>
      </c>
      <c r="L16" s="24" t="n">
        <f aca="false">(H16-H$22)/H$23</f>
        <v>-1.0516498394249</v>
      </c>
    </row>
    <row r="17" customFormat="false" ht="15" hidden="false" customHeight="false" outlineLevel="0" collapsed="false">
      <c r="A17" s="19" t="str">
        <f aca="false">Data!A16</f>
        <v>Forestry</v>
      </c>
      <c r="B17" s="20" t="n">
        <f aca="false">Data!B16</f>
        <v>11</v>
      </c>
      <c r="C17" s="20" t="n">
        <f aca="false">Data!C16</f>
        <v>20</v>
      </c>
      <c r="D17" s="20" t="n">
        <f aca="false">Data!D16</f>
        <v>29</v>
      </c>
      <c r="E17" s="21" t="n">
        <f aca="false">LN(AVERAGE(B17:D17))</f>
        <v>2.99573227355399</v>
      </c>
      <c r="F17" s="22" t="n">
        <f aca="false">IF(C17=0,0,D17/C17-1)</f>
        <v>0.45</v>
      </c>
      <c r="G17" s="21" t="n">
        <f aca="false">STDEV(B17:D17)/AVERAGE(B17:D17)</f>
        <v>0.45</v>
      </c>
      <c r="H17" s="23" t="n">
        <f aca="false">SLOPE(B17:D17,$B$4:$D$4)/AVERAGE(B17:D17)</f>
        <v>0.45</v>
      </c>
      <c r="I17" s="24" t="n">
        <f aca="false">(E17-E$22)/E$23</f>
        <v>-1.50078529128451</v>
      </c>
      <c r="J17" s="24" t="n">
        <f aca="false">(F17-F$22)/F$23</f>
        <v>0.966368310447188</v>
      </c>
      <c r="K17" s="24" t="n">
        <f aca="false">(G17-G$22)/G$23</f>
        <v>1.84080031886491</v>
      </c>
      <c r="L17" s="24" t="n">
        <f aca="false">(H17-H$22)/H$23</f>
        <v>2.21608157954835</v>
      </c>
    </row>
    <row r="18" customFormat="false" ht="15" hidden="false" customHeight="false" outlineLevel="0" collapsed="false">
      <c r="A18" s="19" t="str">
        <f aca="false">Data!A17</f>
        <v>Transport</v>
      </c>
      <c r="B18" s="20" t="n">
        <f aca="false">Data!B17</f>
        <v>41</v>
      </c>
      <c r="C18" s="20" t="n">
        <f aca="false">Data!C17</f>
        <v>31</v>
      </c>
      <c r="D18" s="20" t="n">
        <f aca="false">Data!D17</f>
        <v>27</v>
      </c>
      <c r="E18" s="21" t="n">
        <f aca="false">LN(AVERAGE(B18:D18))</f>
        <v>3.49650756146648</v>
      </c>
      <c r="F18" s="22" t="n">
        <f aca="false">IF(C18=0,0,D18/C18-1)</f>
        <v>-0.129032258064516</v>
      </c>
      <c r="G18" s="21" t="n">
        <f aca="false">STDEV(B18:D18)/AVERAGE(B18:D18)</f>
        <v>0.21851825911903</v>
      </c>
      <c r="H18" s="23" t="n">
        <f aca="false">SLOPE(B18:D18,$B$4:$D$4)/AVERAGE(B18:D18)</f>
        <v>-0.212121212121212</v>
      </c>
      <c r="I18" s="24" t="n">
        <f aca="false">(E18-E$22)/E$23</f>
        <v>-0.70715048868715</v>
      </c>
      <c r="J18" s="24" t="n">
        <f aca="false">(F18-F$22)/F$23</f>
        <v>-0.289533656584597</v>
      </c>
      <c r="K18" s="24" t="n">
        <f aca="false">(G18-G$22)/G$23</f>
        <v>-0.0126153225792112</v>
      </c>
      <c r="L18" s="24" t="n">
        <f aca="false">(H18-H$22)/H$23</f>
        <v>-0.908641899863707</v>
      </c>
    </row>
    <row r="19" customFormat="false" ht="15" hidden="false" customHeight="false" outlineLevel="0" collapsed="false">
      <c r="A19" s="19" t="str">
        <f aca="false">Data!A18</f>
        <v>Technology</v>
      </c>
      <c r="B19" s="20" t="n">
        <f aca="false">Data!B18</f>
        <v>41</v>
      </c>
      <c r="C19" s="20" t="n">
        <f aca="false">Data!C18</f>
        <v>31</v>
      </c>
      <c r="D19" s="20" t="n">
        <f aca="false">Data!D18</f>
        <v>26</v>
      </c>
      <c r="E19" s="21" t="n">
        <f aca="false">LN(AVERAGE(B19:D19))</f>
        <v>3.48635519000246</v>
      </c>
      <c r="F19" s="22" t="n">
        <f aca="false">IF(C19=0,0,D19/C19-1)</f>
        <v>-0.161290322580645</v>
      </c>
      <c r="G19" s="21" t="n">
        <f aca="false">STDEV(B19:D19)/AVERAGE(B19:D19)</f>
        <v>0.233804882395706</v>
      </c>
      <c r="H19" s="23" t="n">
        <f aca="false">SLOPE(B19:D19,$B$4:$D$4)/AVERAGE(B19:D19)</f>
        <v>-0.229591836734694</v>
      </c>
      <c r="I19" s="24" t="n">
        <f aca="false">(E19-E$22)/E$23</f>
        <v>-0.723240091183966</v>
      </c>
      <c r="J19" s="24" t="n">
        <f aca="false">(F19-F$22)/F$23</f>
        <v>-0.359500339984696</v>
      </c>
      <c r="K19" s="24" t="n">
        <f aca="false">(G19-G$22)/G$23</f>
        <v>0.109780796345887</v>
      </c>
      <c r="L19" s="24" t="n">
        <f aca="false">(H19-H$22)/H$23</f>
        <v>-0.991090354814803</v>
      </c>
    </row>
    <row r="20" customFormat="false" ht="15" hidden="false" customHeight="false" outlineLevel="0" collapsed="false">
      <c r="A20" s="19" t="str">
        <f aca="false">Data!A19</f>
        <v>Infrastructure</v>
      </c>
      <c r="B20" s="20" t="n">
        <f aca="false">Data!B19</f>
        <v>33</v>
      </c>
      <c r="C20" s="20" t="n">
        <f aca="false">Data!C19</f>
        <v>33</v>
      </c>
      <c r="D20" s="20" t="n">
        <f aca="false">Data!D19</f>
        <v>20</v>
      </c>
      <c r="E20" s="21" t="n">
        <f aca="false">LN(AVERAGE(B20:D20))</f>
        <v>3.3557350075854</v>
      </c>
      <c r="F20" s="22" t="n">
        <f aca="false">IF(C20=0,0,D20/C20-1)</f>
        <v>-0.393939393939394</v>
      </c>
      <c r="G20" s="21" t="n">
        <f aca="false">STDEV(B20:D20)/AVERAGE(B20:D20)</f>
        <v>0.261821633702272</v>
      </c>
      <c r="H20" s="23" t="n">
        <f aca="false">SLOPE(B20:D20,$B$4:$D$4)/AVERAGE(B20:D20)</f>
        <v>-0.226744186046512</v>
      </c>
      <c r="I20" s="24" t="n">
        <f aca="false">(E20-E$22)/E$23</f>
        <v>-0.930248554241181</v>
      </c>
      <c r="J20" s="24" t="n">
        <f aca="false">(F20-F$22)/F$23</f>
        <v>-0.864108541476323</v>
      </c>
      <c r="K20" s="24" t="n">
        <f aca="false">(G20-G$22)/G$23</f>
        <v>0.334103824574453</v>
      </c>
      <c r="L20" s="24" t="n">
        <f aca="false">(H20-H$22)/H$23</f>
        <v>-0.977651545117073</v>
      </c>
    </row>
    <row r="21" customFormat="false" ht="15" hidden="false" customHeight="false" outlineLevel="0" collapsed="false">
      <c r="A21" s="19" t="str">
        <f aca="false">Data!A20</f>
        <v>Other</v>
      </c>
      <c r="B21" s="20" t="n">
        <f aca="false">Data!B20</f>
        <v>72</v>
      </c>
      <c r="C21" s="20" t="n">
        <f aca="false">Data!C20</f>
        <v>78</v>
      </c>
      <c r="D21" s="20" t="n">
        <f aca="false">Data!D20</f>
        <v>60</v>
      </c>
      <c r="E21" s="21" t="n">
        <f aca="false">LN(AVERAGE(B21:D21))</f>
        <v>4.24849524204936</v>
      </c>
      <c r="F21" s="22" t="n">
        <f aca="false">IF(C21=0,0,D21/C21-1)</f>
        <v>-0.230769230769231</v>
      </c>
      <c r="G21" s="21" t="n">
        <f aca="false">STDEV(B21:D21)/AVERAGE(B21:D21)</f>
        <v>0.130930734141595</v>
      </c>
      <c r="H21" s="23" t="n">
        <f aca="false">SLOPE(B21:D21,$B$4:$D$4)/AVERAGE(B21:D21)</f>
        <v>-0.0857142857142857</v>
      </c>
      <c r="I21" s="24" t="n">
        <f aca="false">(E21-E$22)/E$23</f>
        <v>0.484608787060768</v>
      </c>
      <c r="J21" s="24" t="n">
        <f aca="false">(F21-F$22)/F$23</f>
        <v>-0.510197811923372</v>
      </c>
      <c r="K21" s="24" t="n">
        <f aca="false">(G21-G$22)/G$23</f>
        <v>-0.713906440274878</v>
      </c>
      <c r="L21" s="24" t="n">
        <f aca="false">(H21-H$22)/H$23</f>
        <v>-0.312094494837018</v>
      </c>
    </row>
    <row r="22" customFormat="false" ht="15" hidden="false" customHeight="false" outlineLevel="0" collapsed="false">
      <c r="A22" s="2" t="s">
        <v>100</v>
      </c>
      <c r="E22" s="25" t="n">
        <f aca="false">AVERAGE(E6:E21)</f>
        <v>3.94271214877894</v>
      </c>
      <c r="F22" s="25" t="n">
        <f aca="false">AVERAGE(F6:F21)</f>
        <v>0.00445692449810044</v>
      </c>
      <c r="G22" s="25" t="n">
        <f aca="false">AVERAGE(G6:G21)</f>
        <v>0.220093845710139</v>
      </c>
      <c r="H22" s="25" t="n">
        <f aca="false">AVERAGE(H6:H21)</f>
        <v>-0.0195822306446559</v>
      </c>
    </row>
    <row r="23" customFormat="false" ht="15" hidden="false" customHeight="false" outlineLevel="0" collapsed="false">
      <c r="A23" s="2" t="s">
        <v>101</v>
      </c>
      <c r="E23" s="25" t="n">
        <f aca="false">STDEV(E6:E21)</f>
        <v>0.630989576406654</v>
      </c>
      <c r="F23" s="25" t="n">
        <f aca="false">STDEV(F6:F21)</f>
        <v>0.46104892998377</v>
      </c>
      <c r="G23" s="25" t="n">
        <f aca="false">STDEV(G6:G21)</f>
        <v>0.124894673221063</v>
      </c>
      <c r="H23" s="25" t="n">
        <f aca="false">STDEV(H6:H21)</f>
        <v>0.211897537968958</v>
      </c>
    </row>
    <row r="25" customFormat="false" ht="15" hidden="false" customHeight="false" outlineLevel="0" collapsed="false">
      <c r="A25" s="26" t="s">
        <v>102</v>
      </c>
    </row>
    <row r="26" customFormat="false" ht="23.85" hidden="false" customHeight="false" outlineLevel="0" collapsed="false">
      <c r="A26" s="5"/>
      <c r="B26" s="5" t="s">
        <v>92</v>
      </c>
      <c r="C26" s="5" t="s">
        <v>93</v>
      </c>
      <c r="D26" s="5" t="s">
        <v>94</v>
      </c>
      <c r="E26" s="5" t="s">
        <v>95</v>
      </c>
    </row>
    <row r="27" customFormat="false" ht="15" hidden="false" customHeight="false" outlineLevel="0" collapsed="false">
      <c r="A27" s="2" t="s">
        <v>92</v>
      </c>
      <c r="B27" s="24" t="n">
        <f aca="false">CORREL(E$6:E$21,E$6:E$21)</f>
        <v>1</v>
      </c>
      <c r="C27" s="24" t="n">
        <f aca="false">CORREL(E$6:E$21,F$6:F$21)</f>
        <v>-0.234120284665237</v>
      </c>
      <c r="D27" s="24" t="n">
        <f aca="false">CORREL(E$6:E$21,G$6:G$21)</f>
        <v>-0.514237813008737</v>
      </c>
      <c r="E27" s="24" t="n">
        <f aca="false">CORREL(E$6:E$21,H$6:H$21)</f>
        <v>-0.131883282217523</v>
      </c>
    </row>
    <row r="28" customFormat="false" ht="15" hidden="false" customHeight="false" outlineLevel="0" collapsed="false">
      <c r="A28" s="2" t="s">
        <v>93</v>
      </c>
      <c r="B28" s="24" t="n">
        <f aca="false">CORREL(F$6:F$21,E$6:E$21)</f>
        <v>-0.234120284665237</v>
      </c>
      <c r="C28" s="24" t="n">
        <f aca="false">CORREL(F$6:F$21,F$6:F$21)</f>
        <v>1</v>
      </c>
      <c r="D28" s="24" t="n">
        <f aca="false">CORREL(F$6:F$21,G$6:G$21)</f>
        <v>0.661763987955406</v>
      </c>
      <c r="E28" s="24" t="n">
        <f aca="false">CORREL(F$6:F$21,H$6:H$21)</f>
        <v>0.726648532211982</v>
      </c>
    </row>
    <row r="29" customFormat="false" ht="15" hidden="false" customHeight="false" outlineLevel="0" collapsed="false">
      <c r="A29" s="2" t="s">
        <v>94</v>
      </c>
      <c r="B29" s="24" t="n">
        <f aca="false">CORREL(G$6:G$21,E$6:E$21)</f>
        <v>-0.514237813008737</v>
      </c>
      <c r="C29" s="24" t="n">
        <f aca="false">CORREL(G$6:G$21,F$6:F$21)</f>
        <v>0.661763987955406</v>
      </c>
      <c r="D29" s="24" t="n">
        <f aca="false">CORREL(G$6:G$21,G$6:G$21)</f>
        <v>1</v>
      </c>
      <c r="E29" s="24" t="n">
        <f aca="false">CORREL(G$6:G$21,H$6:H$21)</f>
        <v>0.412443254797967</v>
      </c>
    </row>
    <row r="30" customFormat="false" ht="15" hidden="false" customHeight="false" outlineLevel="0" collapsed="false">
      <c r="A30" s="2" t="s">
        <v>95</v>
      </c>
      <c r="B30" s="24" t="n">
        <f aca="false">CORREL(H$6:H$21,E$6:E$21)</f>
        <v>-0.131883282217523</v>
      </c>
      <c r="C30" s="24" t="n">
        <f aca="false">CORREL(H$6:H$21,F$6:F$21)</f>
        <v>0.726648532211982</v>
      </c>
      <c r="D30" s="24" t="n">
        <f aca="false">CORREL(H$6:H$21,G$6:G$21)</f>
        <v>0.412443254797967</v>
      </c>
      <c r="E30" s="24" t="n">
        <f aca="false">CORREL(H$6:H$21,H$6:H$21)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3"/>
    <col collapsed="false" customWidth="true" hidden="false" outlineLevel="0" max="12" min="12" style="0" width="26"/>
    <col collapsed="false" customWidth="true" hidden="false" outlineLevel="0" max="16" min="13" style="0" width="13"/>
    <col collapsed="false" customWidth="true" hidden="false" outlineLevel="0" max="18" min="18" style="0" width="28"/>
    <col collapsed="false" customWidth="true" hidden="false" outlineLevel="0" max="21" min="19" style="0" width="13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4" t="s">
        <v>104</v>
      </c>
    </row>
    <row r="3" customFormat="false" ht="15" hidden="false" customHeight="false" outlineLevel="0" collapsed="false">
      <c r="A3" s="26" t="s">
        <v>105</v>
      </c>
      <c r="R3" s="26" t="s">
        <v>106</v>
      </c>
    </row>
    <row r="4" customFormat="false" ht="23.85" hidden="false" customHeight="false" outlineLevel="0" collapsed="false">
      <c r="B4" s="5" t="s">
        <v>92</v>
      </c>
      <c r="C4" s="5" t="s">
        <v>93</v>
      </c>
      <c r="D4" s="5" t="s">
        <v>94</v>
      </c>
      <c r="E4" s="5" t="s">
        <v>95</v>
      </c>
      <c r="L4" s="5" t="s">
        <v>51</v>
      </c>
      <c r="M4" s="5" t="s">
        <v>107</v>
      </c>
      <c r="N4" s="5" t="s">
        <v>108</v>
      </c>
      <c r="O4" s="5" t="s">
        <v>109</v>
      </c>
      <c r="P4" s="5" t="s">
        <v>110</v>
      </c>
      <c r="R4" s="5" t="s">
        <v>111</v>
      </c>
      <c r="S4" s="5" t="s">
        <v>112</v>
      </c>
      <c r="T4" s="5" t="s">
        <v>113</v>
      </c>
      <c r="U4" s="5" t="s">
        <v>114</v>
      </c>
    </row>
    <row r="5" customFormat="false" ht="15" hidden="false" customHeight="false" outlineLevel="0" collapsed="false">
      <c r="A5" s="2" t="s">
        <v>92</v>
      </c>
      <c r="B5" s="27" t="n">
        <f aca="false">Features!B27</f>
        <v>1</v>
      </c>
      <c r="C5" s="27" t="n">
        <f aca="false">Features!C27</f>
        <v>-0.234120284665237</v>
      </c>
      <c r="D5" s="27" t="n">
        <f aca="false">Features!D27</f>
        <v>-0.514237813008737</v>
      </c>
      <c r="E5" s="27" t="n">
        <f aca="false">Features!E27</f>
        <v>-0.131883282217523</v>
      </c>
      <c r="L5" s="19" t="str">
        <f aca="false">Features!A6</f>
        <v>Mining</v>
      </c>
      <c r="M5" s="24" t="n">
        <f aca="false">SUMPRODUCT(Features!I6:L6,$B$42:$E$42)</f>
        <v>-1.51706048587012</v>
      </c>
      <c r="N5" s="24" t="n">
        <f aca="false">SUMPRODUCT(Features!I6:L6,$B$85:$E$85)</f>
        <v>-1.34578528368626</v>
      </c>
      <c r="O5" s="28" t="n">
        <f aca="false">KMeans!F6</f>
        <v>1</v>
      </c>
      <c r="P5" s="29" t="n">
        <f aca="false">O5*100+1</f>
        <v>101</v>
      </c>
      <c r="R5" s="2" t="s">
        <v>115</v>
      </c>
      <c r="S5" s="25" t="n">
        <f aca="false">SUMPRODUCT(F42:I42,B42:E42)</f>
        <v>2.39382413147188</v>
      </c>
      <c r="T5" s="30" t="n">
        <f aca="false">S5/4</f>
        <v>0.598456032867971</v>
      </c>
      <c r="U5" s="30" t="n">
        <f aca="false">T5</f>
        <v>0.598456032867971</v>
      </c>
    </row>
    <row r="6" customFormat="false" ht="15" hidden="false" customHeight="false" outlineLevel="0" collapsed="false">
      <c r="A6" s="2" t="s">
        <v>93</v>
      </c>
      <c r="B6" s="27" t="n">
        <f aca="false">Features!B28</f>
        <v>-0.234120284665237</v>
      </c>
      <c r="C6" s="27" t="n">
        <f aca="false">Features!C28</f>
        <v>1</v>
      </c>
      <c r="D6" s="27" t="n">
        <f aca="false">Features!D28</f>
        <v>0.661763987955406</v>
      </c>
      <c r="E6" s="27" t="n">
        <f aca="false">Features!E28</f>
        <v>0.726648532211982</v>
      </c>
      <c r="L6" s="19" t="str">
        <f aca="false">Features!A7</f>
        <v>Energy</v>
      </c>
      <c r="M6" s="24" t="n">
        <f aca="false">SUMPRODUCT(Features!I7:L7,$B$42:$E$42)</f>
        <v>-1.59454193085925</v>
      </c>
      <c r="N6" s="24" t="n">
        <f aca="false">SUMPRODUCT(Features!I7:L7,$B$85:$E$85)</f>
        <v>-1.61338802240194</v>
      </c>
      <c r="O6" s="28" t="n">
        <f aca="false">KMeans!F7</f>
        <v>1</v>
      </c>
      <c r="P6" s="29" t="n">
        <f aca="false">O6*100+2</f>
        <v>102</v>
      </c>
      <c r="R6" s="2" t="s">
        <v>116</v>
      </c>
      <c r="S6" s="25" t="n">
        <f aca="false">SUMPRODUCT(F85:I85,B85:E85)</f>
        <v>1.00351488608865</v>
      </c>
      <c r="T6" s="30" t="n">
        <f aca="false">S6/4</f>
        <v>0.250878721522163</v>
      </c>
      <c r="U6" s="30" t="n">
        <f aca="false">U5+T6</f>
        <v>0.849334754390134</v>
      </c>
    </row>
    <row r="7" customFormat="false" ht="15" hidden="false" customHeight="false" outlineLevel="0" collapsed="false">
      <c r="A7" s="2" t="s">
        <v>94</v>
      </c>
      <c r="B7" s="27" t="n">
        <f aca="false">Features!B29</f>
        <v>-0.514237813008737</v>
      </c>
      <c r="C7" s="27" t="n">
        <f aca="false">Features!C29</f>
        <v>0.661763987955406</v>
      </c>
      <c r="D7" s="27" t="n">
        <f aca="false">Features!D29</f>
        <v>1</v>
      </c>
      <c r="E7" s="27" t="n">
        <f aca="false">Features!E29</f>
        <v>0.412443254797967</v>
      </c>
      <c r="L7" s="19" t="str">
        <f aca="false">Features!A8</f>
        <v>Social infrastructure</v>
      </c>
      <c r="M7" s="24" t="n">
        <f aca="false">SUMPRODUCT(Features!I8:L8,$B$42:$E$42)</f>
        <v>-0.0425459001717164</v>
      </c>
      <c r="N7" s="24" t="n">
        <f aca="false">SUMPRODUCT(Features!I8:L8,$B$85:$E$85)</f>
        <v>-1.37872664410207</v>
      </c>
      <c r="O7" s="28" t="n">
        <f aca="false">KMeans!F8</f>
        <v>1</v>
      </c>
      <c r="P7" s="29" t="n">
        <f aca="false">O7*100+3</f>
        <v>103</v>
      </c>
    </row>
    <row r="8" customFormat="false" ht="15" hidden="false" customHeight="false" outlineLevel="0" collapsed="false">
      <c r="A8" s="2" t="s">
        <v>95</v>
      </c>
      <c r="B8" s="27" t="n">
        <f aca="false">Features!B30</f>
        <v>-0.131883282217523</v>
      </c>
      <c r="C8" s="27" t="n">
        <f aca="false">Features!C30</f>
        <v>0.726648532211982</v>
      </c>
      <c r="D8" s="27" t="n">
        <f aca="false">Features!D30</f>
        <v>0.412443254797967</v>
      </c>
      <c r="E8" s="27" t="n">
        <f aca="false">Features!E30</f>
        <v>1</v>
      </c>
      <c r="L8" s="19" t="str">
        <f aca="false">Features!A9</f>
        <v>Nuclear</v>
      </c>
      <c r="M8" s="24" t="n">
        <f aca="false">SUMPRODUCT(Features!I9:L9,$B$42:$E$42)</f>
        <v>4.11010159113358</v>
      </c>
      <c r="N8" s="24" t="n">
        <f aca="false">SUMPRODUCT(Features!I9:L9,$B$85:$E$85)</f>
        <v>-1.02975035946605</v>
      </c>
      <c r="O8" s="28" t="n">
        <f aca="false">KMeans!F9</f>
        <v>2</v>
      </c>
      <c r="P8" s="29" t="n">
        <f aca="false">O8*100+4</f>
        <v>204</v>
      </c>
      <c r="R8" s="5" t="s">
        <v>117</v>
      </c>
      <c r="S8" s="5" t="s">
        <v>115</v>
      </c>
      <c r="T8" s="5" t="s">
        <v>116</v>
      </c>
    </row>
    <row r="9" customFormat="false" ht="15" hidden="false" customHeight="false" outlineLevel="0" collapsed="false">
      <c r="L9" s="19" t="str">
        <f aca="false">Features!A10</f>
        <v>Defence</v>
      </c>
      <c r="M9" s="24" t="n">
        <f aca="false">SUMPRODUCT(Features!I10:L10,$B$42:$E$42)</f>
        <v>0.18656729730273</v>
      </c>
      <c r="N9" s="24" t="n">
        <f aca="false">SUMPRODUCT(Features!I10:L10,$B$85:$E$85)</f>
        <v>-0.53991744944105</v>
      </c>
      <c r="O9" s="28" t="n">
        <f aca="false">KMeans!F10</f>
        <v>3</v>
      </c>
      <c r="P9" s="29" t="n">
        <f aca="false">O9*100+5</f>
        <v>305</v>
      </c>
      <c r="R9" s="2" t="s">
        <v>92</v>
      </c>
      <c r="S9" s="23" t="n">
        <f aca="false">B42</f>
        <v>-0.346271027285391</v>
      </c>
      <c r="T9" s="23" t="n">
        <f aca="false">B85</f>
        <v>-0.774935775270351</v>
      </c>
    </row>
    <row r="10" customFormat="false" ht="15" hidden="false" customHeight="false" outlineLevel="0" collapsed="false">
      <c r="A10" s="26" t="s">
        <v>118</v>
      </c>
      <c r="L10" s="19" t="str">
        <f aca="false">Features!A11</f>
        <v>Agriculture</v>
      </c>
      <c r="M10" s="24" t="n">
        <f aca="false">SUMPRODUCT(Features!I11:L11,$B$42:$E$42)</f>
        <v>-0.0170786774905188</v>
      </c>
      <c r="N10" s="24" t="n">
        <f aca="false">SUMPRODUCT(Features!I11:L11,$B$85:$E$85)</f>
        <v>-0.0298646261519164</v>
      </c>
      <c r="O10" s="28" t="n">
        <f aca="false">KMeans!F11</f>
        <v>3</v>
      </c>
      <c r="P10" s="29" t="n">
        <f aca="false">O10*100+6</f>
        <v>306</v>
      </c>
      <c r="R10" s="2" t="s">
        <v>93</v>
      </c>
      <c r="S10" s="23" t="n">
        <f aca="false">C42</f>
        <v>0.577195362296734</v>
      </c>
      <c r="T10" s="23" t="n">
        <f aca="false">C85</f>
        <v>-0.293652491568249</v>
      </c>
    </row>
    <row r="11" customFormat="false" ht="15" hidden="false" customHeight="false" outlineLevel="0" collapsed="false">
      <c r="A11" s="5" t="s">
        <v>119</v>
      </c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  <c r="G11" s="5" t="s">
        <v>125</v>
      </c>
      <c r="H11" s="5" t="s">
        <v>126</v>
      </c>
      <c r="I11" s="5" t="s">
        <v>127</v>
      </c>
      <c r="J11" s="5" t="s">
        <v>128</v>
      </c>
      <c r="L11" s="19" t="str">
        <f aca="false">Features!A12</f>
        <v>Manufacturing</v>
      </c>
      <c r="M11" s="24" t="n">
        <f aca="false">SUMPRODUCT(Features!I12:L12,$B$42:$E$42)</f>
        <v>-0.674157049491814</v>
      </c>
      <c r="N11" s="24" t="n">
        <f aca="false">SUMPRODUCT(Features!I12:L12,$B$85:$E$85)</f>
        <v>-0.301883297203294</v>
      </c>
      <c r="O11" s="28" t="n">
        <f aca="false">KMeans!F12</f>
        <v>3</v>
      </c>
      <c r="P11" s="29" t="n">
        <f aca="false">O11*100+7</f>
        <v>307</v>
      </c>
      <c r="R11" s="2" t="s">
        <v>94</v>
      </c>
      <c r="S11" s="23" t="n">
        <f aca="false">D42</f>
        <v>0.54856632384138</v>
      </c>
      <c r="T11" s="23" t="n">
        <f aca="false">D85</f>
        <v>0.265367525707475</v>
      </c>
    </row>
    <row r="12" customFormat="false" ht="15" hidden="false" customHeight="false" outlineLevel="0" collapsed="false">
      <c r="A12" s="31" t="n">
        <v>0</v>
      </c>
      <c r="B12" s="32" t="n">
        <v>0.5</v>
      </c>
      <c r="C12" s="32" t="n">
        <v>0.5</v>
      </c>
      <c r="D12" s="32" t="n">
        <v>0.5</v>
      </c>
      <c r="E12" s="32" t="n">
        <v>0.5</v>
      </c>
      <c r="F12" s="33" t="n">
        <f aca="false">SUMPRODUCT($B$5:$E$5,$B12:$E12)</f>
        <v>0.0598793100542517</v>
      </c>
      <c r="G12" s="33" t="n">
        <f aca="false">SUMPRODUCT($B$6:$E$6,$B12:$E12)</f>
        <v>1.07714611775108</v>
      </c>
      <c r="H12" s="33" t="n">
        <f aca="false">SUMPRODUCT($B$7:$E$7,$B12:$E12)</f>
        <v>0.779984714872318</v>
      </c>
      <c r="I12" s="33" t="n">
        <f aca="false">SUMPRODUCT($B$8:$E$8,$B12:$E12)</f>
        <v>1.00360425239621</v>
      </c>
      <c r="L12" s="19" t="str">
        <f aca="false">Features!A13</f>
        <v>Financial services</v>
      </c>
      <c r="M12" s="24" t="n">
        <f aca="false">SUMPRODUCT(Features!I13:L13,$B$42:$E$42)</f>
        <v>-0.820098630293877</v>
      </c>
      <c r="N12" s="24" t="n">
        <f aca="false">SUMPRODUCT(Features!I13:L13,$B$85:$E$85)</f>
        <v>0.180247940705072</v>
      </c>
      <c r="O12" s="28" t="n">
        <f aca="false">KMeans!F13</f>
        <v>3</v>
      </c>
      <c r="P12" s="29" t="n">
        <f aca="false">O12*100+8</f>
        <v>308</v>
      </c>
      <c r="R12" s="2" t="s">
        <v>95</v>
      </c>
      <c r="S12" s="23" t="n">
        <f aca="false">E42</f>
        <v>0.496000884830881</v>
      </c>
      <c r="T12" s="23" t="n">
        <f aca="false">E85</f>
        <v>-0.492770570044308</v>
      </c>
    </row>
    <row r="13" customFormat="false" ht="15" hidden="false" customHeight="false" outlineLevel="0" collapsed="false">
      <c r="A13" s="31" t="n">
        <v>1</v>
      </c>
      <c r="B13" s="33" t="n">
        <f aca="false">F12/SQRT(SUMSQ($F12:$I12))</f>
        <v>0.035916925693436</v>
      </c>
      <c r="C13" s="33" t="n">
        <f aca="false">G12/SQRT(SUMSQ($F12:$I12))</f>
        <v>0.646095905867763</v>
      </c>
      <c r="D13" s="33" t="n">
        <f aca="false">H12/SQRT(SUMSQ($F12:$I12))</f>
        <v>0.46785196791184</v>
      </c>
      <c r="E13" s="33" t="n">
        <f aca="false">I12/SQRT(SUMSQ($F12:$I12))</f>
        <v>0.60198387934451</v>
      </c>
      <c r="F13" s="33" t="n">
        <f aca="false">SUMPRODUCT($B$5:$E$5,$B13:$E13)</f>
        <v>-0.435326014350179</v>
      </c>
      <c r="G13" s="33" t="n">
        <f aca="false">SUMPRODUCT($B$6:$E$6,$B13:$E13)</f>
        <v>1.3847253113992</v>
      </c>
      <c r="H13" s="33" t="n">
        <f aca="false">SUMPRODUCT($B$7:$E$7,$B13:$E13)</f>
        <v>1.12522932039472</v>
      </c>
      <c r="I13" s="33" t="n">
        <f aca="false">SUMPRODUCT($B$8:$E$8,$B13:$E13)</f>
        <v>1.25969406737307</v>
      </c>
      <c r="J13" s="34" t="n">
        <f aca="false">SQRT(SUMXMY2(B13:E13,B12:E12))</f>
        <v>0.498147890874237</v>
      </c>
      <c r="L13" s="19" t="str">
        <f aca="false">Features!A14</f>
        <v>Gaming &amp; entertainment</v>
      </c>
      <c r="M13" s="24" t="n">
        <f aca="false">SUMPRODUCT(Features!I14:L14,$B$42:$E$42)</f>
        <v>-0.527639984570594</v>
      </c>
      <c r="N13" s="24" t="n">
        <f aca="false">SUMPRODUCT(Features!I14:L14,$B$85:$E$85)</f>
        <v>0.195164233138977</v>
      </c>
      <c r="O13" s="28" t="n">
        <f aca="false">KMeans!F14</f>
        <v>3</v>
      </c>
      <c r="P13" s="29" t="n">
        <f aca="false">O13*100+9</f>
        <v>309</v>
      </c>
    </row>
    <row r="14" customFormat="false" ht="15" hidden="false" customHeight="false" outlineLevel="0" collapsed="false">
      <c r="A14" s="31" t="n">
        <v>2</v>
      </c>
      <c r="B14" s="33" t="n">
        <f aca="false">F13/SQRT(SUMSQ($F13:$I13))</f>
        <v>-0.195468272030959</v>
      </c>
      <c r="C14" s="33" t="n">
        <f aca="false">G13/SQRT(SUMSQ($F13:$I13))</f>
        <v>0.621763586218869</v>
      </c>
      <c r="D14" s="33" t="n">
        <f aca="false">H13/SQRT(SUMSQ($F13:$I13))</f>
        <v>0.505245778211636</v>
      </c>
      <c r="E14" s="33" t="n">
        <f aca="false">I13/SQRT(SUMSQ($F13:$I13))</f>
        <v>0.565622578298286</v>
      </c>
      <c r="F14" s="33" t="n">
        <f aca="false">SUMPRODUCT($B$5:$E$5,$B14:$E14)</f>
        <v>-0.675448385972764</v>
      </c>
      <c r="G14" s="33" t="n">
        <f aca="false">SUMPRODUCT($B$6:$E$6,$B14:$E14)</f>
        <v>1.41288895110315</v>
      </c>
      <c r="H14" s="33" t="n">
        <f aca="false">SUMPRODUCT($B$7:$E$7,$B14:$E14)</f>
        <v>1.25051092249565</v>
      </c>
      <c r="I14" s="33" t="n">
        <f aca="false">SUMPRODUCT($B$8:$E$8,$B14:$E14)</f>
        <v>1.25159038613045</v>
      </c>
      <c r="J14" s="34" t="n">
        <f aca="false">SQRT(SUMXMY2(B14:E14,B13:E13))</f>
        <v>0.23843576235113</v>
      </c>
      <c r="L14" s="19" t="str">
        <f aca="false">Features!A15</f>
        <v>Chemicals &amp; pharmaceuticals</v>
      </c>
      <c r="M14" s="24" t="n">
        <f aca="false">SUMPRODUCT(Features!I15:L15,$B$42:$E$42)</f>
        <v>-0.735894006057573</v>
      </c>
      <c r="N14" s="24" t="n">
        <f aca="false">SUMPRODUCT(Features!I15:L15,$B$85:$E$85)</f>
        <v>0.876890662090528</v>
      </c>
      <c r="O14" s="28" t="n">
        <f aca="false">KMeans!F15</f>
        <v>3</v>
      </c>
      <c r="P14" s="29" t="n">
        <f aca="false">O14*100+10</f>
        <v>310</v>
      </c>
      <c r="R14" s="3" t="s">
        <v>129</v>
      </c>
      <c r="U14" s="34" t="n">
        <f aca="false">SUMPRODUCT(B42:E42,B85:E85)</f>
        <v>6.62908616888558E-012</v>
      </c>
    </row>
    <row r="15" customFormat="false" ht="15" hidden="false" customHeight="false" outlineLevel="0" collapsed="false">
      <c r="A15" s="31" t="n">
        <v>3</v>
      </c>
      <c r="B15" s="33" t="n">
        <f aca="false">F14/SQRT(SUMSQ($F14:$I14))</f>
        <v>-0.285869879207209</v>
      </c>
      <c r="C15" s="33" t="n">
        <f aca="false">G14/SQRT(SUMSQ($F14:$I14))</f>
        <v>0.597976695441158</v>
      </c>
      <c r="D15" s="33" t="n">
        <f aca="false">H14/SQRT(SUMSQ($F14:$I14))</f>
        <v>0.529253476335261</v>
      </c>
      <c r="E15" s="33" t="n">
        <f aca="false">I14/SQRT(SUMSQ($F14:$I14))</f>
        <v>0.529710337503781</v>
      </c>
      <c r="F15" s="33" t="n">
        <f aca="false">SUMPRODUCT($B$5:$E$5,$B15:$E15)</f>
        <v>-0.767890441499537</v>
      </c>
      <c r="G15" s="33" t="n">
        <f aca="false">SUMPRODUCT($B$6:$E$6,$B15:$E15)</f>
        <v>1.40005876332189</v>
      </c>
      <c r="H15" s="33" t="n">
        <f aca="false">SUMPRODUCT($B$7:$E$7,$B15:$E15)</f>
        <v>1.29045347620357</v>
      </c>
      <c r="I15" s="33" t="n">
        <f aca="false">SUMPRODUCT($B$8:$E$8,$B15:$E15)</f>
        <v>1.2202177098929</v>
      </c>
      <c r="J15" s="34" t="n">
        <f aca="false">SQRT(SUMXMY2(B15:E15,B14:E14))</f>
        <v>0.102977305077368</v>
      </c>
      <c r="L15" s="19" t="str">
        <f aca="false">Features!A16</f>
        <v>Renewables</v>
      </c>
      <c r="M15" s="24" t="n">
        <f aca="false">SUMPRODUCT(Features!I16:L16,$B$42:$E$42)</f>
        <v>0.701183501677585</v>
      </c>
      <c r="N15" s="24" t="n">
        <f aca="false">SUMPRODUCT(Features!I16:L16,$B$85:$E$85)</f>
        <v>1.16666796787342</v>
      </c>
      <c r="O15" s="28" t="n">
        <f aca="false">KMeans!F16</f>
        <v>3</v>
      </c>
      <c r="P15" s="29" t="n">
        <f aca="false">O15*100+11</f>
        <v>311</v>
      </c>
      <c r="R15" s="3" t="s">
        <v>130</v>
      </c>
      <c r="U15" s="2" t="str">
        <f aca="false">IF(J42&lt;0.000001,"Yes","No")</f>
        <v>Yes</v>
      </c>
    </row>
    <row r="16" customFormat="false" ht="15" hidden="false" customHeight="false" outlineLevel="0" collapsed="false">
      <c r="A16" s="31" t="n">
        <v>4</v>
      </c>
      <c r="B16" s="33" t="n">
        <f aca="false">F15/SQRT(SUMSQ($F15:$I15))</f>
        <v>-0.32152050620032</v>
      </c>
      <c r="C16" s="33" t="n">
        <f aca="false">G15/SQRT(SUMSQ($F15:$I15))</f>
        <v>0.586213316335073</v>
      </c>
      <c r="D16" s="33" t="n">
        <f aca="false">H15/SQRT(SUMSQ($F15:$I15))</f>
        <v>0.540320900578869</v>
      </c>
      <c r="E16" s="33" t="n">
        <f aca="false">I15/SQRT(SUMSQ($F15:$I15))</f>
        <v>0.510912748169162</v>
      </c>
      <c r="F16" s="33" t="n">
        <f aca="false">SUMPRODUCT($B$5:$E$5,$B16:$E16)</f>
        <v>-0.803999223087152</v>
      </c>
      <c r="G16" s="33" t="n">
        <f aca="false">SUMPRODUCT($B$6:$E$6,$B16:$E16)</f>
        <v>1.39030670126064</v>
      </c>
      <c r="H16" s="33" t="n">
        <f aca="false">SUMPRODUCT($B$7:$E$7,$B16:$E16)</f>
        <v>1.30431628130791</v>
      </c>
      <c r="I16" s="33" t="n">
        <f aca="false">SUMPRODUCT($B$8:$E$8,$B16:$E16)</f>
        <v>1.20213868457522</v>
      </c>
      <c r="J16" s="34" t="n">
        <f aca="false">SQRT(SUMXMY2(B16:E16,B15:E15))</f>
        <v>0.0434186772849704</v>
      </c>
      <c r="L16" s="19" t="str">
        <f aca="false">Features!A17</f>
        <v>Forestry</v>
      </c>
      <c r="M16" s="24" t="n">
        <f aca="false">SUMPRODUCT(Features!I17:L17,$B$42:$E$42)</f>
        <v>3.1864412597677</v>
      </c>
      <c r="N16" s="24" t="n">
        <f aca="false">SUMPRODUCT(Features!I17:L17,$B$85:$E$85)</f>
        <v>0.275704593800469</v>
      </c>
      <c r="O16" s="28" t="n">
        <f aca="false">KMeans!F17</f>
        <v>2</v>
      </c>
      <c r="P16" s="29" t="n">
        <f aca="false">O16*100+12</f>
        <v>212</v>
      </c>
      <c r="R16" s="3" t="s">
        <v>131</v>
      </c>
      <c r="U16" s="2" t="str">
        <f aca="false">IF(J85&lt;0.000001,"Yes","No")</f>
        <v>Yes</v>
      </c>
    </row>
    <row r="17" customFormat="false" ht="15" hidden="false" customHeight="false" outlineLevel="0" collapsed="false">
      <c r="A17" s="31" t="n">
        <v>5</v>
      </c>
      <c r="B17" s="33" t="n">
        <f aca="false">F16/SQRT(SUMSQ($F16:$I16))</f>
        <v>-0.336000246098052</v>
      </c>
      <c r="C17" s="33" t="n">
        <f aca="false">G16/SQRT(SUMSQ($F16:$I16))</f>
        <v>0.581024683060806</v>
      </c>
      <c r="D17" s="33" t="n">
        <f aca="false">H16/SQRT(SUMSQ($F16:$I16))</f>
        <v>0.545088327108555</v>
      </c>
      <c r="E17" s="33" t="n">
        <f aca="false">I16/SQRT(SUMSQ($F16:$I16))</f>
        <v>0.502387169368542</v>
      </c>
      <c r="F17" s="33" t="n">
        <f aca="false">SUMPRODUCT($B$5:$E$5,$B17:$E17)</f>
        <v>-0.818591408362965</v>
      </c>
      <c r="G17" s="33" t="n">
        <f aca="false">SUMPRODUCT($B$6:$E$6,$B17:$E17)</f>
        <v>1.38546788068395</v>
      </c>
      <c r="H17" s="33" t="n">
        <f aca="false">SUMPRODUCT($B$7:$E$7,$B17:$E17)</f>
        <v>1.30957976949836</v>
      </c>
      <c r="I17" s="33" t="n">
        <f aca="false">SUMPRODUCT($B$8:$E$8,$B17:$E17)</f>
        <v>1.19371872155995</v>
      </c>
      <c r="J17" s="34" t="n">
        <f aca="false">SQRT(SUMXMY2(B17:E17,B16:E16))</f>
        <v>0.018220829628816</v>
      </c>
      <c r="L17" s="19" t="str">
        <f aca="false">Features!A18</f>
        <v>Transport</v>
      </c>
      <c r="M17" s="24" t="n">
        <f aca="false">SUMPRODUCT(Features!I18:L18,$B$42:$E$42)</f>
        <v>-0.379859285104542</v>
      </c>
      <c r="N17" s="24" t="n">
        <f aca="false">SUMPRODUCT(Features!I18:L18,$B$85:$E$85)</f>
        <v>1.07742278185565</v>
      </c>
      <c r="O17" s="28" t="n">
        <f aca="false">KMeans!F18</f>
        <v>3</v>
      </c>
      <c r="P17" s="29" t="n">
        <f aca="false">O17*100+13</f>
        <v>313</v>
      </c>
      <c r="R17" s="4" t="s">
        <v>132</v>
      </c>
    </row>
    <row r="18" customFormat="false" ht="15" hidden="false" customHeight="false" outlineLevel="0" collapsed="false">
      <c r="A18" s="31" t="n">
        <v>6</v>
      </c>
      <c r="B18" s="33" t="n">
        <f aca="false">F17/SQRT(SUMSQ($F17:$I17))</f>
        <v>-0.341984098905298</v>
      </c>
      <c r="C18" s="33" t="n">
        <f aca="false">G17/SQRT(SUMSQ($F17:$I17))</f>
        <v>0.578808890366275</v>
      </c>
      <c r="D18" s="33" t="n">
        <f aca="false">H17/SQRT(SUMSQ($F17:$I17))</f>
        <v>0.547105006039745</v>
      </c>
      <c r="E18" s="33" t="n">
        <f aca="false">I17/SQRT(SUMSQ($F17:$I17))</f>
        <v>0.498701570977216</v>
      </c>
      <c r="F18" s="33" t="n">
        <f aca="false">SUMPRODUCT($B$5:$E$5,$B18:$E18)</f>
        <v>-0.824607482904141</v>
      </c>
      <c r="G18" s="33" t="n">
        <f aca="false">SUMPRODUCT($B$6:$E$6,$B18:$E18)</f>
        <v>1.3833094601426</v>
      </c>
      <c r="H18" s="33" t="n">
        <f aca="false">SUMPRODUCT($B$7:$E$7,$B18:$E18)</f>
        <v>1.3116871398041</v>
      </c>
      <c r="I18" s="33" t="n">
        <f aca="false">SUMPRODUCT($B$8:$E$8,$B18:$E18)</f>
        <v>1.19004395643024</v>
      </c>
      <c r="J18" s="34" t="n">
        <f aca="false">SQRT(SUMXMY2(B18:E18,B17:E17))</f>
        <v>0.00763982075035604</v>
      </c>
      <c r="L18" s="19" t="str">
        <f aca="false">Features!A19</f>
        <v>Technology</v>
      </c>
      <c r="M18" s="24" t="n">
        <f aca="false">SUMPRODUCT(Features!I19:L19,$B$42:$E$42)</f>
        <v>-0.388424484690666</v>
      </c>
      <c r="N18" s="24" t="n">
        <f aca="false">SUMPRODUCT(Features!I19:L19,$B$85:$E$85)</f>
        <v>1.1835452087284</v>
      </c>
      <c r="O18" s="28" t="n">
        <f aca="false">KMeans!F19</f>
        <v>3</v>
      </c>
      <c r="P18" s="29" t="n">
        <f aca="false">O18*100+14</f>
        <v>314</v>
      </c>
    </row>
    <row r="19" customFormat="false" ht="15" hidden="false" customHeight="false" outlineLevel="0" collapsed="false">
      <c r="A19" s="31" t="n">
        <v>7</v>
      </c>
      <c r="B19" s="33" t="n">
        <f aca="false">F18/SQRT(SUMSQ($F18:$I18))</f>
        <v>-0.344477193233985</v>
      </c>
      <c r="C19" s="33" t="n">
        <f aca="false">G18/SQRT(SUMSQ($F18:$I18))</f>
        <v>0.577873194317517</v>
      </c>
      <c r="D19" s="33" t="n">
        <f aca="false">H18/SQRT(SUMSQ($F18:$I18))</f>
        <v>0.547953194324041</v>
      </c>
      <c r="E19" s="33" t="n">
        <f aca="false">I18/SQRT(SUMSQ($F18:$I18))</f>
        <v>0.497137135467654</v>
      </c>
      <c r="F19" s="33" t="n">
        <f aca="false">SUMPRODUCT($B$5:$E$5,$B19:$E19)</f>
        <v>-0.82711135940605</v>
      </c>
      <c r="G19" s="33" t="n">
        <f aca="false">SUMPRODUCT($B$6:$E$6,$B19:$E19)</f>
        <v>1.38238195374256</v>
      </c>
      <c r="H19" s="33" t="n">
        <f aca="false">SUMPRODUCT($B$7:$E$7,$B19:$E19)</f>
        <v>1.31255292064138</v>
      </c>
      <c r="I19" s="33" t="n">
        <f aca="false">SUMPRODUCT($B$8:$E$8,$B19:$E19)</f>
        <v>1.18847822575986</v>
      </c>
      <c r="J19" s="34" t="n">
        <f aca="false">SQRT(SUMXMY2(B19:E19,B18:E18))</f>
        <v>0.00320280006503556</v>
      </c>
      <c r="L19" s="19" t="str">
        <f aca="false">Features!A20</f>
        <v>Infrastructure</v>
      </c>
      <c r="M19" s="24" t="n">
        <f aca="false">SUMPRODUCT(Features!I20:L20,$B$42:$E$42)</f>
        <v>-0.478279244759479</v>
      </c>
      <c r="N19" s="24" t="n">
        <f aca="false">SUMPRODUCT(Features!I20:L20,$B$85:$E$85)</f>
        <v>1.54504872521371</v>
      </c>
      <c r="O19" s="28" t="n">
        <f aca="false">KMeans!F20</f>
        <v>3</v>
      </c>
      <c r="P19" s="29" t="n">
        <f aca="false">O19*100+15</f>
        <v>315</v>
      </c>
    </row>
    <row r="20" customFormat="false" ht="15" hidden="false" customHeight="false" outlineLevel="0" collapsed="false">
      <c r="A20" s="31" t="n">
        <v>8</v>
      </c>
      <c r="B20" s="33" t="n">
        <f aca="false">F19/SQRT(SUMSQ($F19:$I19))</f>
        <v>-0.345519610355003</v>
      </c>
      <c r="C20" s="33" t="n">
        <f aca="false">G19/SQRT(SUMSQ($F19:$I19))</f>
        <v>0.577479765677395</v>
      </c>
      <c r="D20" s="33" t="n">
        <f aca="false">H19/SQRT(SUMSQ($F19:$I19))</f>
        <v>0.548309207161657</v>
      </c>
      <c r="E20" s="33" t="n">
        <f aca="false">I19/SQRT(SUMSQ($F19:$I19))</f>
        <v>0.496477927439945</v>
      </c>
      <c r="F20" s="33" t="n">
        <f aca="false">SUMPRODUCT($B$5:$E$5,$B20:$E20)</f>
        <v>-0.828157803646507</v>
      </c>
      <c r="G20" s="33" t="n">
        <f aca="false">SUMPRODUCT($B$6:$E$6,$B20:$E20)</f>
        <v>1.38198916002498</v>
      </c>
      <c r="H20" s="33" t="n">
        <f aca="false">SUMPRODUCT($B$7:$E$7,$B20:$E20)</f>
        <v>1.31291274096915</v>
      </c>
      <c r="I20" s="33" t="n">
        <f aca="false">SUMPRODUCT($B$8:$E$8,$B20:$E20)</f>
        <v>1.18781744587313</v>
      </c>
      <c r="J20" s="34" t="n">
        <f aca="false">SQRT(SUMXMY2(B20:E20,B19:E19))</f>
        <v>0.00134265405574282</v>
      </c>
      <c r="L20" s="19" t="str">
        <f aca="false">Features!A21</f>
        <v>Other</v>
      </c>
      <c r="M20" s="24" t="n">
        <f aca="false">SUMPRODUCT(Features!I21:L21,$B$42:$E$42)</f>
        <v>-1.00871397052145</v>
      </c>
      <c r="N20" s="24" t="n">
        <f aca="false">SUMPRODUCT(Features!I21:L21,$B$85:$E$85)</f>
        <v>-0.261376430953642</v>
      </c>
      <c r="O20" s="28" t="n">
        <f aca="false">KMeans!F21</f>
        <v>3</v>
      </c>
      <c r="P20" s="29" t="n">
        <f aca="false">O20*100+16</f>
        <v>316</v>
      </c>
    </row>
    <row r="21" customFormat="false" ht="15" hidden="false" customHeight="false" outlineLevel="0" collapsed="false">
      <c r="A21" s="31" t="n">
        <v>9</v>
      </c>
      <c r="B21" s="33" t="n">
        <f aca="false">F20/SQRT(SUMSQ($F20:$I20))</f>
        <v>-0.34595612656505</v>
      </c>
      <c r="C21" s="33" t="n">
        <f aca="false">G20/SQRT(SUMSQ($F20:$I20))</f>
        <v>0.577314630921723</v>
      </c>
      <c r="D21" s="33" t="n">
        <f aca="false">H20/SQRT(SUMSQ($F20:$I20))</f>
        <v>0.548458523706028</v>
      </c>
      <c r="E21" s="33" t="n">
        <f aca="false">I20/SQRT(SUMSQ($F20:$I20))</f>
        <v>0.496200990718505</v>
      </c>
      <c r="F21" s="33" t="n">
        <f aca="false">SUMPRODUCT($B$5:$E$5,$B21:$E21)</f>
        <v>-0.828595919349981</v>
      </c>
      <c r="G21" s="33" t="n">
        <f aca="false">SUMPRODUCT($B$6:$E$6,$B21:$E21)</f>
        <v>1.38182379921838</v>
      </c>
      <c r="H21" s="33" t="n">
        <f aca="false">SUMPRODUCT($B$7:$E$7,$B21:$E21)</f>
        <v>1.31306302973749</v>
      </c>
      <c r="I21" s="33" t="n">
        <f aca="false">SUMPRODUCT($B$8:$E$8,$B21:$E21)</f>
        <v>1.18753966801594</v>
      </c>
      <c r="J21" s="34" t="n">
        <f aca="false">SQRT(SUMXMY2(B21:E21,B20:E20))</f>
        <v>0.000562854570265855</v>
      </c>
    </row>
    <row r="22" customFormat="false" ht="15" hidden="false" customHeight="false" outlineLevel="0" collapsed="false">
      <c r="A22" s="31" t="n">
        <v>10</v>
      </c>
      <c r="B22" s="33" t="n">
        <f aca="false">F21/SQRT(SUMSQ($F21:$I21))</f>
        <v>-0.346139035370053</v>
      </c>
      <c r="C22" s="33" t="n">
        <f aca="false">G21/SQRT(SUMSQ($F21:$I21))</f>
        <v>0.577245368632823</v>
      </c>
      <c r="D22" s="33" t="n">
        <f aca="false">H21/SQRT(SUMSQ($F21:$I21))</f>
        <v>0.548521130601226</v>
      </c>
      <c r="E22" s="33" t="n">
        <f aca="false">I21/SQRT(SUMSQ($F21:$I21))</f>
        <v>0.496084793023328</v>
      </c>
      <c r="F22" s="33" t="n">
        <f aca="false">SUMPRODUCT($B$5:$E$5,$B22:$E22)</f>
        <v>-0.82877948274763</v>
      </c>
      <c r="G22" s="33" t="n">
        <f aca="false">SUMPRODUCT($B$6:$E$6,$B22:$E22)</f>
        <v>1.38175435569497</v>
      </c>
      <c r="H22" s="33" t="n">
        <f aca="false">SUMPRODUCT($B$7:$E$7,$B22:$E22)</f>
        <v>1.31312593501244</v>
      </c>
      <c r="I22" s="33" t="n">
        <f aca="false">SUMPRODUCT($B$8:$E$8,$B22:$E22)</f>
        <v>1.18742308538537</v>
      </c>
      <c r="J22" s="34" t="n">
        <f aca="false">SQRT(SUMXMY2(B22:E22,B21:E21))</f>
        <v>0.000235954282228589</v>
      </c>
    </row>
    <row r="23" customFormat="false" ht="15" hidden="false" customHeight="false" outlineLevel="0" collapsed="false">
      <c r="A23" s="31" t="n">
        <v>11</v>
      </c>
      <c r="B23" s="33" t="n">
        <f aca="false">F22/SQRT(SUMSQ($F22:$I22))</f>
        <v>-0.346215698036824</v>
      </c>
      <c r="C23" s="33" t="n">
        <f aca="false">G22/SQRT(SUMSQ($F22:$I22))</f>
        <v>0.577216326816368</v>
      </c>
      <c r="D23" s="33" t="n">
        <f aca="false">H22/SQRT(SUMSQ($F22:$I22))</f>
        <v>0.54854737799901</v>
      </c>
      <c r="E23" s="33" t="n">
        <f aca="false">I22/SQRT(SUMSQ($F22:$I22))</f>
        <v>0.496036063789625</v>
      </c>
      <c r="F23" s="33" t="n">
        <f aca="false">SUMPRODUCT($B$5:$E$5,$B23:$E23)</f>
        <v>-0.828856416969219</v>
      </c>
      <c r="G23" s="33" t="n">
        <f aca="false">SUMPRODUCT($B$6:$E$6,$B23:$E23)</f>
        <v>1.38172522272037</v>
      </c>
      <c r="H23" s="33" t="n">
        <f aca="false">SUMPRODUCT($B$7:$E$7,$B23:$E23)</f>
        <v>1.3131522883803</v>
      </c>
      <c r="I23" s="33" t="n">
        <f aca="false">SUMPRODUCT($B$8:$E$8,$B23:$E23)</f>
        <v>1.18737418904466</v>
      </c>
      <c r="J23" s="34" t="n">
        <f aca="false">SQRT(SUMXMY2(B23:E23,B22:E22))</f>
        <v>9.89143856430052E-005</v>
      </c>
      <c r="L23" s="26" t="s">
        <v>133</v>
      </c>
    </row>
    <row r="24" customFormat="false" ht="15" hidden="false" customHeight="false" outlineLevel="0" collapsed="false">
      <c r="A24" s="31" t="n">
        <v>12</v>
      </c>
      <c r="B24" s="33" t="n">
        <f aca="false">F23/SQRT(SUMSQ($F23:$I23))</f>
        <v>-0.346247833252823</v>
      </c>
      <c r="C24" s="33" t="n">
        <f aca="false">G23/SQRT(SUMSQ($F23:$I23))</f>
        <v>0.577204151072488</v>
      </c>
      <c r="D24" s="33" t="n">
        <f aca="false">H23/SQRT(SUMSQ($F23:$I23))</f>
        <v>0.548558381492929</v>
      </c>
      <c r="E24" s="33" t="n">
        <f aca="false">I23/SQRT(SUMSQ($F23:$I23))</f>
        <v>0.496015632864804</v>
      </c>
      <c r="F24" s="33" t="n">
        <f aca="false">SUMPRODUCT($B$5:$E$5,$B24:$E24)</f>
        <v>-0.828888665511818</v>
      </c>
      <c r="G24" s="33" t="n">
        <f aca="false">SUMPRODUCT($B$6:$E$6,$B24:$E24)</f>
        <v>1.38171300609689</v>
      </c>
      <c r="H24" s="33" t="n">
        <f aca="false">SUMPRODUCT($B$7:$E$7,$B24:$E24)</f>
        <v>1.31316333295145</v>
      </c>
      <c r="I24" s="33" t="n">
        <f aca="false">SUMPRODUCT($B$8:$E$8,$B24:$E24)</f>
        <v>1.18735368704803</v>
      </c>
      <c r="J24" s="34" t="n">
        <f aca="false">SQRT(SUMXMY2(B24:E24,B23:E23))</f>
        <v>4.14658945857838E-005</v>
      </c>
      <c r="L24" s="5" t="s">
        <v>51</v>
      </c>
      <c r="M24" s="5" t="s">
        <v>107</v>
      </c>
      <c r="N24" s="5" t="s">
        <v>108</v>
      </c>
      <c r="O24" s="5" t="s">
        <v>109</v>
      </c>
      <c r="P24" s="5" t="s">
        <v>134</v>
      </c>
    </row>
    <row r="25" customFormat="false" ht="15" hidden="false" customHeight="false" outlineLevel="0" collapsed="false">
      <c r="A25" s="31" t="n">
        <v>13</v>
      </c>
      <c r="B25" s="33" t="n">
        <f aca="false">F24/SQRT(SUMSQ($F24:$I24))</f>
        <v>-0.346261304212091</v>
      </c>
      <c r="C25" s="33" t="n">
        <f aca="false">G24/SQRT(SUMSQ($F24:$I24))</f>
        <v>0.577199046680772</v>
      </c>
      <c r="D25" s="33" t="n">
        <f aca="false">H24/SQRT(SUMSQ($F24:$I24))</f>
        <v>0.548562994320234</v>
      </c>
      <c r="E25" s="33" t="n">
        <f aca="false">I24/SQRT(SUMSQ($F24:$I24))</f>
        <v>0.496007067468367</v>
      </c>
      <c r="F25" s="33" t="n">
        <f aca="false">SUMPRODUCT($B$5:$E$5,$B25:$E25)</f>
        <v>-0.828902183887075</v>
      </c>
      <c r="G25" s="33" t="n">
        <f aca="false">SUMPRODUCT($B$6:$E$6,$B25:$E25)</f>
        <v>1.38170788410024</v>
      </c>
      <c r="H25" s="33" t="n">
        <f aca="false">SUMPRODUCT($B$7:$E$7,$B25:$E25)</f>
        <v>1.31316796241279</v>
      </c>
      <c r="I25" s="33" t="n">
        <f aca="false">SUMPRODUCT($B$8:$E$8,$B25:$E25)</f>
        <v>1.18734509167667</v>
      </c>
      <c r="J25" s="34" t="n">
        <f aca="false">SQRT(SUMXMY2(B25:E25,B24:E24))</f>
        <v>1.73829154714129E-005</v>
      </c>
      <c r="L25" s="3" t="str">
        <f aca="false">INDEX(L$5:L$20,$P25)</f>
        <v>Mining</v>
      </c>
      <c r="M25" s="24" t="n">
        <f aca="false">INDEX(M$5:M$20,$P25)</f>
        <v>-1.51706048587012</v>
      </c>
      <c r="N25" s="24" t="n">
        <f aca="false">INDEX(N$5:N$20,$P25)</f>
        <v>-1.34578528368626</v>
      </c>
      <c r="O25" s="31" t="n">
        <f aca="false">INDEX(O$5:O$20,$P25)</f>
        <v>1</v>
      </c>
      <c r="P25" s="29" t="n">
        <f aca="false">MOD(SMALL($P$5:$P$20,1),100)</f>
        <v>1</v>
      </c>
    </row>
    <row r="26" customFormat="false" ht="15" hidden="false" customHeight="false" outlineLevel="0" collapsed="false">
      <c r="A26" s="31" t="n">
        <v>14</v>
      </c>
      <c r="B26" s="33" t="n">
        <f aca="false">F25/SQRT(SUMSQ($F25:$I25))</f>
        <v>-0.346266951294868</v>
      </c>
      <c r="C26" s="33" t="n">
        <f aca="false">G25/SQRT(SUMSQ($F25:$I25))</f>
        <v>0.577196906833885</v>
      </c>
      <c r="D26" s="33" t="n">
        <f aca="false">H25/SQRT(SUMSQ($F25:$I25))</f>
        <v>0.548564928072039</v>
      </c>
      <c r="E26" s="33" t="n">
        <f aca="false">I25/SQRT(SUMSQ($F25:$I25))</f>
        <v>0.496003476672969</v>
      </c>
      <c r="F26" s="33" t="n">
        <f aca="false">SUMPRODUCT($B$5:$E$5,$B26:$E26)</f>
        <v>-0.828907850830705</v>
      </c>
      <c r="G26" s="33" t="n">
        <f aca="false">SUMPRODUCT($B$6:$E$6,$B26:$E26)</f>
        <v>1.38170573679108</v>
      </c>
      <c r="H26" s="33" t="n">
        <f aca="false">SUMPRODUCT($B$7:$E$7,$B26:$E26)</f>
        <v>1.31316990303514</v>
      </c>
      <c r="I26" s="33" t="n">
        <f aca="false">SUMPRODUCT($B$8:$E$8,$B26:$E26)</f>
        <v>1.18734148828337</v>
      </c>
      <c r="J26" s="34" t="n">
        <f aca="false">SQRT(SUMXMY2(B26:E26,B25:E25))</f>
        <v>7.28709106629563E-006</v>
      </c>
      <c r="L26" s="3" t="str">
        <f aca="false">INDEX(L$5:L$20,$P26)</f>
        <v>Energy</v>
      </c>
      <c r="M26" s="24" t="n">
        <f aca="false">INDEX(M$5:M$20,$P26)</f>
        <v>-1.59454193085925</v>
      </c>
      <c r="N26" s="24" t="n">
        <f aca="false">INDEX(N$5:N$20,$P26)</f>
        <v>-1.61338802240194</v>
      </c>
      <c r="O26" s="31" t="n">
        <f aca="false">INDEX(O$5:O$20,$P26)</f>
        <v>1</v>
      </c>
      <c r="P26" s="29" t="n">
        <f aca="false">MOD(SMALL($P$5:$P$20,2),100)</f>
        <v>2</v>
      </c>
    </row>
    <row r="27" customFormat="false" ht="15" hidden="false" customHeight="false" outlineLevel="0" collapsed="false">
      <c r="A27" s="31" t="n">
        <v>15</v>
      </c>
      <c r="B27" s="33" t="n">
        <f aca="false">F26/SQRT(SUMSQ($F26:$I26))</f>
        <v>-0.346269318594632</v>
      </c>
      <c r="C27" s="33" t="n">
        <f aca="false">G26/SQRT(SUMSQ($F26:$I26))</f>
        <v>0.577196009782585</v>
      </c>
      <c r="D27" s="33" t="n">
        <f aca="false">H26/SQRT(SUMSQ($F26:$I26))</f>
        <v>0.548565738721451</v>
      </c>
      <c r="E27" s="33" t="n">
        <f aca="false">I26/SQRT(SUMSQ($F26:$I26))</f>
        <v>0.496001971359046</v>
      </c>
      <c r="F27" s="33" t="n">
        <f aca="false">SUMPRODUCT($B$5:$E$5,$B27:$E27)</f>
        <v>-0.828910226453403</v>
      </c>
      <c r="G27" s="33" t="n">
        <f aca="false">SUMPRODUCT($B$6:$E$6,$B27:$E27)</f>
        <v>1.38170483659711</v>
      </c>
      <c r="H27" s="33" t="n">
        <f aca="false">SUMPRODUCT($B$7:$E$7,$B27:$E27)</f>
        <v>1.31317071654678</v>
      </c>
      <c r="I27" s="33" t="n">
        <f aca="false">SUMPRODUCT($B$8:$E$8,$B27:$E27)</f>
        <v>1.18733997768259</v>
      </c>
      <c r="J27" s="34" t="n">
        <f aca="false">SQRT(SUMXMY2(B27:E27,B26:E26))</f>
        <v>3.05482105624105E-006</v>
      </c>
      <c r="L27" s="3" t="str">
        <f aca="false">INDEX(L$5:L$20,$P27)</f>
        <v>Social infrastructure</v>
      </c>
      <c r="M27" s="24" t="n">
        <f aca="false">INDEX(M$5:M$20,$P27)</f>
        <v>-0.0425459001717164</v>
      </c>
      <c r="N27" s="24" t="n">
        <f aca="false">INDEX(N$5:N$20,$P27)</f>
        <v>-1.37872664410207</v>
      </c>
      <c r="O27" s="31" t="n">
        <f aca="false">INDEX(O$5:O$20,$P27)</f>
        <v>1</v>
      </c>
      <c r="P27" s="29" t="n">
        <f aca="false">MOD(SMALL($P$5:$P$20,3),100)</f>
        <v>3</v>
      </c>
    </row>
    <row r="28" customFormat="false" ht="15" hidden="false" customHeight="false" outlineLevel="0" collapsed="false">
      <c r="A28" s="31" t="n">
        <v>16</v>
      </c>
      <c r="B28" s="33" t="n">
        <f aca="false">F27/SQRT(SUMSQ($F27:$I27))</f>
        <v>-0.346270310987881</v>
      </c>
      <c r="C28" s="33" t="n">
        <f aca="false">G27/SQRT(SUMSQ($F27:$I27))</f>
        <v>0.577195633728662</v>
      </c>
      <c r="D28" s="33" t="n">
        <f aca="false">H27/SQRT(SUMSQ($F27:$I27))</f>
        <v>0.548566078553979</v>
      </c>
      <c r="E28" s="33" t="n">
        <f aca="false">I27/SQRT(SUMSQ($F27:$I27))</f>
        <v>0.496001340313546</v>
      </c>
      <c r="F28" s="33" t="n">
        <f aca="false">SUMPRODUCT($B$5:$E$5,$B28:$E28)</f>
        <v>-0.828911222335186</v>
      </c>
      <c r="G28" s="33" t="n">
        <f aca="false">SUMPRODUCT($B$6:$E$6,$B28:$E28)</f>
        <v>1.38170445922322</v>
      </c>
      <c r="H28" s="33" t="n">
        <f aca="false">SUMPRODUCT($B$7:$E$7,$B28:$E28)</f>
        <v>1.31317105757604</v>
      </c>
      <c r="I28" s="33" t="n">
        <f aca="false">SUMPRODUCT($B$8:$E$8,$B28:$E28)</f>
        <v>1.18733934441977</v>
      </c>
      <c r="J28" s="34" t="n">
        <f aca="false">SQRT(SUMXMY2(B28:E28,B27:E27))</f>
        <v>1.28061137146573E-006</v>
      </c>
      <c r="L28" s="3" t="str">
        <f aca="false">INDEX(L$5:L$20,$P28)</f>
        <v>Nuclear</v>
      </c>
      <c r="M28" s="24" t="n">
        <f aca="false">INDEX(M$5:M$20,$P28)</f>
        <v>4.11010159113358</v>
      </c>
      <c r="N28" s="24" t="n">
        <f aca="false">INDEX(N$5:N$20,$P28)</f>
        <v>-1.02975035946605</v>
      </c>
      <c r="O28" s="31" t="n">
        <f aca="false">INDEX(O$5:O$20,$P28)</f>
        <v>2</v>
      </c>
      <c r="P28" s="29" t="n">
        <f aca="false">MOD(SMALL($P$5:$P$20,4),100)</f>
        <v>4</v>
      </c>
    </row>
    <row r="29" customFormat="false" ht="15" hidden="false" customHeight="false" outlineLevel="0" collapsed="false">
      <c r="A29" s="31" t="n">
        <v>17</v>
      </c>
      <c r="B29" s="33" t="n">
        <f aca="false">F28/SQRT(SUMSQ($F28:$I28))</f>
        <v>-0.346270727008591</v>
      </c>
      <c r="C29" s="33" t="n">
        <f aca="false">G28/SQRT(SUMSQ($F28:$I28))</f>
        <v>0.577195476082924</v>
      </c>
      <c r="D29" s="33" t="n">
        <f aca="false">H28/SQRT(SUMSQ($F28:$I28))</f>
        <v>0.548566221015192</v>
      </c>
      <c r="E29" s="33" t="n">
        <f aca="false">I28/SQRT(SUMSQ($F28:$I28))</f>
        <v>0.496001075772484</v>
      </c>
      <c r="F29" s="33" t="n">
        <f aca="false">SUMPRODUCT($B$5:$E$5,$B29:$E29)</f>
        <v>-0.828911639818229</v>
      </c>
      <c r="G29" s="33" t="n">
        <f aca="false">SUMPRODUCT($B$6:$E$6,$B29:$E29)</f>
        <v>1.38170430102369</v>
      </c>
      <c r="H29" s="33" t="n">
        <f aca="false">SUMPRODUCT($B$7:$E$7,$B29:$E29)</f>
        <v>1.31317120053839</v>
      </c>
      <c r="I29" s="33" t="n">
        <f aca="false">SUMPRODUCT($B$8:$E$8,$B29:$E29)</f>
        <v>1.187339078949</v>
      </c>
      <c r="J29" s="34" t="n">
        <f aca="false">SQRT(SUMXMY2(B29:E29,B28:E28))</f>
        <v>5.36845024586088E-007</v>
      </c>
      <c r="L29" s="3" t="str">
        <f aca="false">INDEX(L$5:L$20,$P29)</f>
        <v>Forestry</v>
      </c>
      <c r="M29" s="24" t="n">
        <f aca="false">INDEX(M$5:M$20,$P29)</f>
        <v>3.1864412597677</v>
      </c>
      <c r="N29" s="24" t="n">
        <f aca="false">INDEX(N$5:N$20,$P29)</f>
        <v>0.275704593800469</v>
      </c>
      <c r="O29" s="31" t="n">
        <f aca="false">INDEX(O$5:O$20,$P29)</f>
        <v>2</v>
      </c>
      <c r="P29" s="29" t="n">
        <f aca="false">MOD(SMALL($P$5:$P$20,5),100)</f>
        <v>12</v>
      </c>
    </row>
    <row r="30" customFormat="false" ht="15" hidden="false" customHeight="false" outlineLevel="0" collapsed="false">
      <c r="A30" s="31" t="n">
        <v>18</v>
      </c>
      <c r="B30" s="33" t="n">
        <f aca="false">F29/SQRT(SUMSQ($F29:$I29))</f>
        <v>-0.346270901408538</v>
      </c>
      <c r="C30" s="33" t="n">
        <f aca="false">G29/SQRT(SUMSQ($F29:$I29))</f>
        <v>0.577195409996228</v>
      </c>
      <c r="D30" s="33" t="n">
        <f aca="false">H29/SQRT(SUMSQ($F29:$I29))</f>
        <v>0.548566280736355</v>
      </c>
      <c r="E30" s="33" t="n">
        <f aca="false">I29/SQRT(SUMSQ($F29:$I29))</f>
        <v>0.496000964874149</v>
      </c>
      <c r="F30" s="33" t="n">
        <f aca="false">SUMPRODUCT($B$5:$E$5,$B30:$E30)</f>
        <v>-0.828911814831184</v>
      </c>
      <c r="G30" s="33" t="n">
        <f aca="false">SUMPRODUCT($B$6:$E$6,$B30:$E30)</f>
        <v>1.38170423470477</v>
      </c>
      <c r="H30" s="33" t="n">
        <f aca="false">SUMPRODUCT($B$7:$E$7,$B30:$E30)</f>
        <v>1.31317126046953</v>
      </c>
      <c r="I30" s="33" t="n">
        <f aca="false">SUMPRODUCT($B$8:$E$8,$B30:$E30)</f>
        <v>1.1873389676609</v>
      </c>
      <c r="J30" s="34" t="n">
        <f aca="false">SQRT(SUMXMY2(B30:E30,B29:E29))</f>
        <v>2.2505077400956E-007</v>
      </c>
      <c r="L30" s="3" t="str">
        <f aca="false">INDEX(L$5:L$20,$P30)</f>
        <v>Defence</v>
      </c>
      <c r="M30" s="24" t="n">
        <f aca="false">INDEX(M$5:M$20,$P30)</f>
        <v>0.18656729730273</v>
      </c>
      <c r="N30" s="24" t="n">
        <f aca="false">INDEX(N$5:N$20,$P30)</f>
        <v>-0.53991744944105</v>
      </c>
      <c r="O30" s="31" t="n">
        <f aca="false">INDEX(O$5:O$20,$P30)</f>
        <v>3</v>
      </c>
      <c r="P30" s="29" t="n">
        <f aca="false">MOD(SMALL($P$5:$P$20,6),100)</f>
        <v>5</v>
      </c>
    </row>
    <row r="31" customFormat="false" ht="15" hidden="false" customHeight="false" outlineLevel="0" collapsed="false">
      <c r="A31" s="31" t="n">
        <v>19</v>
      </c>
      <c r="B31" s="33" t="n">
        <f aca="false">F30/SQRT(SUMSQ($F30:$I30))</f>
        <v>-0.346270974518718</v>
      </c>
      <c r="C31" s="33" t="n">
        <f aca="false">G30/SQRT(SUMSQ($F30:$I30))</f>
        <v>0.577195382292022</v>
      </c>
      <c r="D31" s="33" t="n">
        <f aca="false">H30/SQRT(SUMSQ($F30:$I30))</f>
        <v>0.548566305772062</v>
      </c>
      <c r="E31" s="33" t="n">
        <f aca="false">I30/SQRT(SUMSQ($F30:$I30))</f>
        <v>0.496000918384449</v>
      </c>
      <c r="F31" s="33" t="n">
        <f aca="false">SUMPRODUCT($B$5:$E$5,$B31:$E31)</f>
        <v>-0.828911888198341</v>
      </c>
      <c r="G31" s="33" t="n">
        <f aca="false">SUMPRODUCT($B$6:$E$6,$B31:$E31)</f>
        <v>1.38170420690319</v>
      </c>
      <c r="H31" s="33" t="n">
        <f aca="false">SUMPRODUCT($B$7:$E$7,$B31:$E31)</f>
        <v>1.31317128559325</v>
      </c>
      <c r="I31" s="33" t="n">
        <f aca="false">SUMPRODUCT($B$8:$E$8,$B31:$E31)</f>
        <v>1.18733892100779</v>
      </c>
      <c r="J31" s="34" t="n">
        <f aca="false">SQRT(SUMXMY2(B31:E31,B30:E30))</f>
        <v>9.43435229562996E-008</v>
      </c>
      <c r="L31" s="3" t="str">
        <f aca="false">INDEX(L$5:L$20,$P31)</f>
        <v>Agriculture</v>
      </c>
      <c r="M31" s="24" t="n">
        <f aca="false">INDEX(M$5:M$20,$P31)</f>
        <v>-0.0170786774905188</v>
      </c>
      <c r="N31" s="24" t="n">
        <f aca="false">INDEX(N$5:N$20,$P31)</f>
        <v>-0.0298646261519164</v>
      </c>
      <c r="O31" s="31" t="n">
        <f aca="false">INDEX(O$5:O$20,$P31)</f>
        <v>3</v>
      </c>
      <c r="P31" s="29" t="n">
        <f aca="false">MOD(SMALL($P$5:$P$20,7),100)</f>
        <v>6</v>
      </c>
    </row>
    <row r="32" customFormat="false" ht="15" hidden="false" customHeight="false" outlineLevel="0" collapsed="false">
      <c r="A32" s="31" t="n">
        <v>20</v>
      </c>
      <c r="B32" s="33" t="n">
        <f aca="false">F31/SQRT(SUMSQ($F31:$I31))</f>
        <v>-0.346271005167231</v>
      </c>
      <c r="C32" s="33" t="n">
        <f aca="false">G31/SQRT(SUMSQ($F31:$I31))</f>
        <v>0.577195370678142</v>
      </c>
      <c r="D32" s="33" t="n">
        <f aca="false">H31/SQRT(SUMSQ($F31:$I31))</f>
        <v>0.548566316267279</v>
      </c>
      <c r="E32" s="33" t="n">
        <f aca="false">I31/SQRT(SUMSQ($F31:$I31))</f>
        <v>0.496000898895501</v>
      </c>
      <c r="F32" s="33" t="n">
        <f aca="false">SUMPRODUCT($B$5:$E$5,$B32:$E32)</f>
        <v>-0.82891191895458</v>
      </c>
      <c r="G32" s="33" t="n">
        <f aca="false">SUMPRODUCT($B$6:$E$6,$B32:$E32)</f>
        <v>1.38170419524849</v>
      </c>
      <c r="H32" s="33" t="n">
        <f aca="false">SUMPRODUCT($B$7:$E$7,$B32:$E32)</f>
        <v>1.31317129612536</v>
      </c>
      <c r="I32" s="33" t="n">
        <f aca="false">SUMPRODUCT($B$8:$E$8,$B32:$E32)</f>
        <v>1.18733890145035</v>
      </c>
      <c r="J32" s="34" t="n">
        <f aca="false">SQRT(SUMXMY2(B32:E32,B31:E31))</f>
        <v>3.95497432636395E-008</v>
      </c>
      <c r="L32" s="3" t="str">
        <f aca="false">INDEX(L$5:L$20,$P32)</f>
        <v>Manufacturing</v>
      </c>
      <c r="M32" s="24" t="n">
        <f aca="false">INDEX(M$5:M$20,$P32)</f>
        <v>-0.674157049491814</v>
      </c>
      <c r="N32" s="24" t="n">
        <f aca="false">INDEX(N$5:N$20,$P32)</f>
        <v>-0.301883297203294</v>
      </c>
      <c r="O32" s="31" t="n">
        <f aca="false">INDEX(O$5:O$20,$P32)</f>
        <v>3</v>
      </c>
      <c r="P32" s="29" t="n">
        <f aca="false">MOD(SMALL($P$5:$P$20,8),100)</f>
        <v>7</v>
      </c>
    </row>
    <row r="33" customFormat="false" ht="15" hidden="false" customHeight="false" outlineLevel="0" collapsed="false">
      <c r="A33" s="31" t="n">
        <v>21</v>
      </c>
      <c r="B33" s="33" t="n">
        <f aca="false">F32/SQRT(SUMSQ($F32:$I32))</f>
        <v>-0.346271018015392</v>
      </c>
      <c r="C33" s="33" t="n">
        <f aca="false">G32/SQRT(SUMSQ($F32:$I32))</f>
        <v>0.577195365809488</v>
      </c>
      <c r="D33" s="33" t="n">
        <f aca="false">H32/SQRT(SUMSQ($F32:$I32))</f>
        <v>0.548566320666979</v>
      </c>
      <c r="E33" s="33" t="n">
        <f aca="false">I32/SQRT(SUMSQ($F32:$I32))</f>
        <v>0.49600089072554</v>
      </c>
      <c r="F33" s="33" t="n">
        <f aca="false">SUMPRODUCT($B$5:$E$5,$B33:$E33)</f>
        <v>-0.8289119318479</v>
      </c>
      <c r="G33" s="33" t="n">
        <f aca="false">SUMPRODUCT($B$6:$E$6,$B33:$E33)</f>
        <v>1.38170419036273</v>
      </c>
      <c r="H33" s="33" t="n">
        <f aca="false">SUMPRODUCT($B$7:$E$7,$B33:$E33)</f>
        <v>1.31317130054052</v>
      </c>
      <c r="I33" s="33" t="n">
        <f aca="false">SUMPRODUCT($B$8:$E$8,$B33:$E33)</f>
        <v>1.18733889325167</v>
      </c>
      <c r="J33" s="34" t="n">
        <f aca="false">SQRT(SUMXMY2(B33:E33,B32:E32))</f>
        <v>1.65796456794326E-008</v>
      </c>
      <c r="L33" s="3" t="str">
        <f aca="false">INDEX(L$5:L$20,$P33)</f>
        <v>Financial services</v>
      </c>
      <c r="M33" s="24" t="n">
        <f aca="false">INDEX(M$5:M$20,$P33)</f>
        <v>-0.820098630293877</v>
      </c>
      <c r="N33" s="24" t="n">
        <f aca="false">INDEX(N$5:N$20,$P33)</f>
        <v>0.180247940705072</v>
      </c>
      <c r="O33" s="31" t="n">
        <f aca="false">INDEX(O$5:O$20,$P33)</f>
        <v>3</v>
      </c>
      <c r="P33" s="29" t="n">
        <f aca="false">MOD(SMALL($P$5:$P$20,9),100)</f>
        <v>8</v>
      </c>
    </row>
    <row r="34" customFormat="false" ht="15" hidden="false" customHeight="false" outlineLevel="0" collapsed="false">
      <c r="A34" s="31" t="n">
        <v>22</v>
      </c>
      <c r="B34" s="33" t="n">
        <f aca="false">F33/SQRT(SUMSQ($F33:$I33))</f>
        <v>-0.346271023401468</v>
      </c>
      <c r="C34" s="33" t="n">
        <f aca="false">G33/SQRT(SUMSQ($F33:$I33))</f>
        <v>0.5771953637685</v>
      </c>
      <c r="D34" s="33" t="n">
        <f aca="false">H33/SQRT(SUMSQ($F33:$I33))</f>
        <v>0.548566322511377</v>
      </c>
      <c r="E34" s="33" t="n">
        <f aca="false">I33/SQRT(SUMSQ($F33:$I33))</f>
        <v>0.496000887300611</v>
      </c>
      <c r="F34" s="33" t="n">
        <f aca="false">SUMPRODUCT($B$5:$E$5,$B34:$E34)</f>
        <v>-0.828911937252909</v>
      </c>
      <c r="G34" s="33" t="n">
        <f aca="false">SUMPRODUCT($B$6:$E$6,$B34:$E34)</f>
        <v>1.38170418831456</v>
      </c>
      <c r="H34" s="33" t="n">
        <f aca="false">SUMPRODUCT($B$7:$E$7,$B34:$E34)</f>
        <v>1.3131713023914</v>
      </c>
      <c r="I34" s="33" t="n">
        <f aca="false">SUMPRODUCT($B$8:$E$8,$B34:$E34)</f>
        <v>1.1873388898147</v>
      </c>
      <c r="J34" s="34" t="n">
        <f aca="false">SQRT(SUMXMY2(B34:E34,B33:E33))</f>
        <v>6.95035241069353E-009</v>
      </c>
      <c r="L34" s="3" t="str">
        <f aca="false">INDEX(L$5:L$20,$P34)</f>
        <v>Gaming &amp; entertainment</v>
      </c>
      <c r="M34" s="24" t="n">
        <f aca="false">INDEX(M$5:M$20,$P34)</f>
        <v>-0.527639984570594</v>
      </c>
      <c r="N34" s="24" t="n">
        <f aca="false">INDEX(N$5:N$20,$P34)</f>
        <v>0.195164233138977</v>
      </c>
      <c r="O34" s="31" t="n">
        <f aca="false">INDEX(O$5:O$20,$P34)</f>
        <v>3</v>
      </c>
      <c r="P34" s="29" t="n">
        <f aca="false">MOD(SMALL($P$5:$P$20,10),100)</f>
        <v>9</v>
      </c>
    </row>
    <row r="35" customFormat="false" ht="15" hidden="false" customHeight="false" outlineLevel="0" collapsed="false">
      <c r="A35" s="31" t="n">
        <v>23</v>
      </c>
      <c r="B35" s="33" t="n">
        <f aca="false">F34/SQRT(SUMSQ($F34:$I34))</f>
        <v>-0.346271025659365</v>
      </c>
      <c r="C35" s="33" t="n">
        <f aca="false">G34/SQRT(SUMSQ($F34:$I34))</f>
        <v>0.577195362912897</v>
      </c>
      <c r="D35" s="33" t="n">
        <f aca="false">H34/SQRT(SUMSQ($F34:$I34))</f>
        <v>0.548566323284567</v>
      </c>
      <c r="E35" s="33" t="n">
        <f aca="false">I34/SQRT(SUMSQ($F34:$I34))</f>
        <v>0.496000885864847</v>
      </c>
      <c r="F35" s="33" t="n">
        <f aca="false">SUMPRODUCT($B$5:$E$5,$B35:$E35)</f>
        <v>-0.828911939518742</v>
      </c>
      <c r="G35" s="33" t="n">
        <f aca="false">SUMPRODUCT($B$6:$E$6,$B35:$E35)</f>
        <v>1.38170418745595</v>
      </c>
      <c r="H35" s="33" t="n">
        <f aca="false">SUMPRODUCT($B$7:$E$7,$B35:$E35)</f>
        <v>1.31317130316731</v>
      </c>
      <c r="I35" s="33" t="n">
        <f aca="false">SUMPRODUCT($B$8:$E$8,$B35:$E35)</f>
        <v>1.18733888837389</v>
      </c>
      <c r="J35" s="34" t="n">
        <f aca="false">SQRT(SUMXMY2(B35:E35,B34:E34))</f>
        <v>2.91365688168534E-009</v>
      </c>
      <c r="L35" s="3" t="str">
        <f aca="false">INDEX(L$5:L$20,$P35)</f>
        <v>Chemicals &amp; pharmaceuticals</v>
      </c>
      <c r="M35" s="24" t="n">
        <f aca="false">INDEX(M$5:M$20,$P35)</f>
        <v>-0.735894006057573</v>
      </c>
      <c r="N35" s="24" t="n">
        <f aca="false">INDEX(N$5:N$20,$P35)</f>
        <v>0.876890662090528</v>
      </c>
      <c r="O35" s="31" t="n">
        <f aca="false">INDEX(O$5:O$20,$P35)</f>
        <v>3</v>
      </c>
      <c r="P35" s="29" t="n">
        <f aca="false">MOD(SMALL($P$5:$P$20,11),100)</f>
        <v>10</v>
      </c>
    </row>
    <row r="36" customFormat="false" ht="15" hidden="false" customHeight="false" outlineLevel="0" collapsed="false">
      <c r="A36" s="31" t="n">
        <v>24</v>
      </c>
      <c r="B36" s="33" t="n">
        <f aca="false">F35/SQRT(SUMSQ($F35:$I35))</f>
        <v>-0.346271026605898</v>
      </c>
      <c r="C36" s="33" t="n">
        <f aca="false">G35/SQRT(SUMSQ($F35:$I35))</f>
        <v>0.57719536255422</v>
      </c>
      <c r="D36" s="33" t="n">
        <f aca="false">H35/SQRT(SUMSQ($F35:$I35))</f>
        <v>0.548566323608695</v>
      </c>
      <c r="E36" s="33" t="n">
        <f aca="false">I35/SQRT(SUMSQ($F35:$I35))</f>
        <v>0.49600088526296</v>
      </c>
      <c r="F36" s="33" t="n">
        <f aca="false">SUMPRODUCT($B$5:$E$5,$B36:$E36)</f>
        <v>-0.828911940468601</v>
      </c>
      <c r="G36" s="33" t="n">
        <f aca="false">SUMPRODUCT($B$6:$E$6,$B36:$E36)</f>
        <v>1.38170418709602</v>
      </c>
      <c r="H36" s="33" t="n">
        <f aca="false">SUMPRODUCT($B$7:$E$7,$B36:$E36)</f>
        <v>1.31317130349258</v>
      </c>
      <c r="I36" s="33" t="n">
        <f aca="false">SUMPRODUCT($B$8:$E$8,$B36:$E36)</f>
        <v>1.18733888776989</v>
      </c>
      <c r="J36" s="34" t="n">
        <f aca="false">SQRT(SUMXMY2(B36:E36,B35:E35))</f>
        <v>1.22143387295368E-009</v>
      </c>
      <c r="L36" s="3" t="str">
        <f aca="false">INDEX(L$5:L$20,$P36)</f>
        <v>Renewables</v>
      </c>
      <c r="M36" s="24" t="n">
        <f aca="false">INDEX(M$5:M$20,$P36)</f>
        <v>0.701183501677585</v>
      </c>
      <c r="N36" s="24" t="n">
        <f aca="false">INDEX(N$5:N$20,$P36)</f>
        <v>1.16666796787342</v>
      </c>
      <c r="O36" s="31" t="n">
        <f aca="false">INDEX(O$5:O$20,$P36)</f>
        <v>3</v>
      </c>
      <c r="P36" s="29" t="n">
        <f aca="false">MOD(SMALL($P$5:$P$20,12),100)</f>
        <v>11</v>
      </c>
    </row>
    <row r="37" customFormat="false" ht="15" hidden="false" customHeight="false" outlineLevel="0" collapsed="false">
      <c r="A37" s="31" t="n">
        <v>25</v>
      </c>
      <c r="B37" s="33" t="n">
        <f aca="false">F36/SQRT(SUMSQ($F36:$I36))</f>
        <v>-0.346271027002694</v>
      </c>
      <c r="C37" s="33" t="n">
        <f aca="false">G36/SQRT(SUMSQ($F36:$I36))</f>
        <v>0.577195362403859</v>
      </c>
      <c r="D37" s="33" t="n">
        <f aca="false">H36/SQRT(SUMSQ($F36:$I36))</f>
        <v>0.548566323744574</v>
      </c>
      <c r="E37" s="33" t="n">
        <f aca="false">I36/SQRT(SUMSQ($F36:$I36))</f>
        <v>0.496000885010643</v>
      </c>
      <c r="F37" s="33" t="n">
        <f aca="false">SUMPRODUCT($B$5:$E$5,$B37:$E37)</f>
        <v>-0.828911940866792</v>
      </c>
      <c r="G37" s="33" t="n">
        <f aca="false">SUMPRODUCT($B$6:$E$6,$B37:$E37)</f>
        <v>1.38170418694513</v>
      </c>
      <c r="H37" s="33" t="n">
        <f aca="false">SUMPRODUCT($B$7:$E$7,$B37:$E37)</f>
        <v>1.31317130362893</v>
      </c>
      <c r="I37" s="33" t="n">
        <f aca="false">SUMPRODUCT($B$8:$E$8,$B37:$E37)</f>
        <v>1.18733888751669</v>
      </c>
      <c r="J37" s="34" t="n">
        <f aca="false">SQRT(SUMXMY2(B37:E37,B36:E36))</f>
        <v>5.12037272382958E-010</v>
      </c>
      <c r="L37" s="3" t="str">
        <f aca="false">INDEX(L$5:L$20,$P37)</f>
        <v>Transport</v>
      </c>
      <c r="M37" s="24" t="n">
        <f aca="false">INDEX(M$5:M$20,$P37)</f>
        <v>-0.379859285104542</v>
      </c>
      <c r="N37" s="24" t="n">
        <f aca="false">INDEX(N$5:N$20,$P37)</f>
        <v>1.07742278185565</v>
      </c>
      <c r="O37" s="31" t="n">
        <f aca="false">INDEX(O$5:O$20,$P37)</f>
        <v>3</v>
      </c>
      <c r="P37" s="29" t="n">
        <f aca="false">MOD(SMALL($P$5:$P$20,13),100)</f>
        <v>13</v>
      </c>
    </row>
    <row r="38" customFormat="false" ht="15" hidden="false" customHeight="false" outlineLevel="0" collapsed="false">
      <c r="A38" s="31" t="n">
        <v>26</v>
      </c>
      <c r="B38" s="33" t="n">
        <f aca="false">F37/SQRT(SUMSQ($F37:$I37))</f>
        <v>-0.346271027169035</v>
      </c>
      <c r="C38" s="33" t="n">
        <f aca="false">G37/SQRT(SUMSQ($F37:$I37))</f>
        <v>0.577195362340826</v>
      </c>
      <c r="D38" s="33" t="n">
        <f aca="false">H37/SQRT(SUMSQ($F37:$I37))</f>
        <v>0.548566323801535</v>
      </c>
      <c r="E38" s="33" t="n">
        <f aca="false">I37/SQRT(SUMSQ($F37:$I37))</f>
        <v>0.49600088490487</v>
      </c>
      <c r="F38" s="33" t="n">
        <f aca="false">SUMPRODUCT($B$5:$E$5,$B38:$E38)</f>
        <v>-0.828911941033718</v>
      </c>
      <c r="G38" s="33" t="n">
        <f aca="false">SUMPRODUCT($B$6:$E$6,$B38:$E38)</f>
        <v>1.38170418688187</v>
      </c>
      <c r="H38" s="33" t="n">
        <f aca="false">SUMPRODUCT($B$7:$E$7,$B38:$E38)</f>
        <v>1.3131713036861</v>
      </c>
      <c r="I38" s="33" t="n">
        <f aca="false">SUMPRODUCT($B$8:$E$8,$B38:$E38)</f>
        <v>1.18733888741054</v>
      </c>
      <c r="J38" s="34" t="n">
        <f aca="false">SQRT(SUMXMY2(B38:E38,B37:E37))</f>
        <v>2.14651092229441E-010</v>
      </c>
      <c r="L38" s="3" t="str">
        <f aca="false">INDEX(L$5:L$20,$P38)</f>
        <v>Technology</v>
      </c>
      <c r="M38" s="24" t="n">
        <f aca="false">INDEX(M$5:M$20,$P38)</f>
        <v>-0.388424484690666</v>
      </c>
      <c r="N38" s="24" t="n">
        <f aca="false">INDEX(N$5:N$20,$P38)</f>
        <v>1.1835452087284</v>
      </c>
      <c r="O38" s="31" t="n">
        <f aca="false">INDEX(O$5:O$20,$P38)</f>
        <v>3</v>
      </c>
      <c r="P38" s="29" t="n">
        <f aca="false">MOD(SMALL($P$5:$P$20,14),100)</f>
        <v>14</v>
      </c>
    </row>
    <row r="39" customFormat="false" ht="15" hidden="false" customHeight="false" outlineLevel="0" collapsed="false">
      <c r="A39" s="31" t="n">
        <v>27</v>
      </c>
      <c r="B39" s="33" t="n">
        <f aca="false">F38/SQRT(SUMSQ($F38:$I38))</f>
        <v>-0.346271027238767</v>
      </c>
      <c r="C39" s="33" t="n">
        <f aca="false">G38/SQRT(SUMSQ($F38:$I38))</f>
        <v>0.577195362314402</v>
      </c>
      <c r="D39" s="33" t="n">
        <f aca="false">H38/SQRT(SUMSQ($F38:$I38))</f>
        <v>0.548566323825414</v>
      </c>
      <c r="E39" s="33" t="n">
        <f aca="false">I38/SQRT(SUMSQ($F38:$I38))</f>
        <v>0.496000884860528</v>
      </c>
      <c r="F39" s="33" t="n">
        <f aca="false">SUMPRODUCT($B$5:$E$5,$B39:$E39)</f>
        <v>-0.828911941103695</v>
      </c>
      <c r="G39" s="33" t="n">
        <f aca="false">SUMPRODUCT($B$6:$E$6,$B39:$E39)</f>
        <v>1.38170418685536</v>
      </c>
      <c r="H39" s="33" t="n">
        <f aca="false">SUMPRODUCT($B$7:$E$7,$B39:$E39)</f>
        <v>1.31317130371006</v>
      </c>
      <c r="I39" s="33" t="n">
        <f aca="false">SUMPRODUCT($B$8:$E$8,$B39:$E39)</f>
        <v>1.18733888736604</v>
      </c>
      <c r="J39" s="34" t="n">
        <f aca="false">SQRT(SUMXMY2(B39:E39,B38:E38))</f>
        <v>8.99839150341313E-011</v>
      </c>
      <c r="L39" s="3" t="str">
        <f aca="false">INDEX(L$5:L$20,$P39)</f>
        <v>Infrastructure</v>
      </c>
      <c r="M39" s="24" t="n">
        <f aca="false">INDEX(M$5:M$20,$P39)</f>
        <v>-0.478279244759479</v>
      </c>
      <c r="N39" s="24" t="n">
        <f aca="false">INDEX(N$5:N$20,$P39)</f>
        <v>1.54504872521371</v>
      </c>
      <c r="O39" s="31" t="n">
        <f aca="false">INDEX(O$5:O$20,$P39)</f>
        <v>3</v>
      </c>
      <c r="P39" s="29" t="n">
        <f aca="false">MOD(SMALL($P$5:$P$20,15),100)</f>
        <v>15</v>
      </c>
    </row>
    <row r="40" customFormat="false" ht="15" hidden="false" customHeight="false" outlineLevel="0" collapsed="false">
      <c r="A40" s="31" t="n">
        <v>28</v>
      </c>
      <c r="B40" s="33" t="n">
        <f aca="false">F39/SQRT(SUMSQ($F39:$I39))</f>
        <v>-0.346271027267999</v>
      </c>
      <c r="C40" s="33" t="n">
        <f aca="false">G39/SQRT(SUMSQ($F39:$I39))</f>
        <v>0.577195362303325</v>
      </c>
      <c r="D40" s="33" t="n">
        <f aca="false">H39/SQRT(SUMSQ($F39:$I39))</f>
        <v>0.548566323835424</v>
      </c>
      <c r="E40" s="33" t="n">
        <f aca="false">I39/SQRT(SUMSQ($F39:$I39))</f>
        <v>0.49600088484194</v>
      </c>
      <c r="F40" s="33" t="n">
        <f aca="false">SUMPRODUCT($B$5:$E$5,$B40:$E40)</f>
        <v>-0.82891194113303</v>
      </c>
      <c r="G40" s="33" t="n">
        <f aca="false">SUMPRODUCT($B$6:$E$6,$B40:$E40)</f>
        <v>1.38170418684424</v>
      </c>
      <c r="H40" s="33" t="n">
        <f aca="false">SUMPRODUCT($B$7:$E$7,$B40:$E40)</f>
        <v>1.3131713037201</v>
      </c>
      <c r="I40" s="33" t="n">
        <f aca="false">SUMPRODUCT($B$8:$E$8,$B40:$E40)</f>
        <v>1.18733888734739</v>
      </c>
      <c r="J40" s="34" t="n">
        <f aca="false">SQRT(SUMXMY2(B40:E40,B39:E39))</f>
        <v>3.77221699622771E-011</v>
      </c>
      <c r="L40" s="3" t="str">
        <f aca="false">INDEX(L$5:L$20,$P40)</f>
        <v>Other</v>
      </c>
      <c r="M40" s="24" t="n">
        <f aca="false">INDEX(M$5:M$20,$P40)</f>
        <v>-1.00871397052145</v>
      </c>
      <c r="N40" s="24" t="n">
        <f aca="false">INDEX(N$5:N$20,$P40)</f>
        <v>-0.261376430953642</v>
      </c>
      <c r="O40" s="31" t="n">
        <f aca="false">INDEX(O$5:O$20,$P40)</f>
        <v>3</v>
      </c>
      <c r="P40" s="29" t="n">
        <f aca="false">MOD(SMALL($P$5:$P$20,16),100)</f>
        <v>16</v>
      </c>
    </row>
    <row r="41" customFormat="false" ht="15" hidden="false" customHeight="false" outlineLevel="0" collapsed="false">
      <c r="A41" s="31" t="n">
        <v>29</v>
      </c>
      <c r="B41" s="33" t="n">
        <f aca="false">F40/SQRT(SUMSQ($F40:$I40))</f>
        <v>-0.346271027280253</v>
      </c>
      <c r="C41" s="33" t="n">
        <f aca="false">G40/SQRT(SUMSQ($F40:$I40))</f>
        <v>0.577195362298681</v>
      </c>
      <c r="D41" s="33" t="n">
        <f aca="false">H40/SQRT(SUMSQ($F40:$I40))</f>
        <v>0.548566323839621</v>
      </c>
      <c r="E41" s="33" t="n">
        <f aca="false">I40/SQRT(SUMSQ($F40:$I40))</f>
        <v>0.496000884834147</v>
      </c>
      <c r="F41" s="33" t="n">
        <f aca="false">SUMPRODUCT($B$5:$E$5,$B41:$E41)</f>
        <v>-0.828911941145327</v>
      </c>
      <c r="G41" s="33" t="n">
        <f aca="false">SUMPRODUCT($B$6:$E$6,$B41:$E41)</f>
        <v>1.38170418683958</v>
      </c>
      <c r="H41" s="33" t="n">
        <f aca="false">SUMPRODUCT($B$7:$E$7,$B41:$E41)</f>
        <v>1.31317130372431</v>
      </c>
      <c r="I41" s="33" t="n">
        <f aca="false">SUMPRODUCT($B$8:$E$8,$B41:$E41)</f>
        <v>1.18733888733957</v>
      </c>
      <c r="J41" s="34" t="n">
        <f aca="false">SQRT(SUMXMY2(B41:E41,B40:E40))</f>
        <v>1.58135171725326E-011</v>
      </c>
    </row>
    <row r="42" customFormat="false" ht="15" hidden="false" customHeight="false" outlineLevel="0" collapsed="false">
      <c r="A42" s="31" t="n">
        <v>30</v>
      </c>
      <c r="B42" s="33" t="n">
        <f aca="false">F41/SQRT(SUMSQ($F41:$I41))</f>
        <v>-0.346271027285391</v>
      </c>
      <c r="C42" s="33" t="n">
        <f aca="false">G41/SQRT(SUMSQ($F41:$I41))</f>
        <v>0.577195362296734</v>
      </c>
      <c r="D42" s="33" t="n">
        <f aca="false">H41/SQRT(SUMSQ($F41:$I41))</f>
        <v>0.54856632384138</v>
      </c>
      <c r="E42" s="33" t="n">
        <f aca="false">I41/SQRT(SUMSQ($F41:$I41))</f>
        <v>0.496000884830881</v>
      </c>
      <c r="F42" s="33" t="n">
        <f aca="false">SUMPRODUCT($B$5:$E$5,$B42:$E42)</f>
        <v>-0.828911941150482</v>
      </c>
      <c r="G42" s="33" t="n">
        <f aca="false">SUMPRODUCT($B$6:$E$6,$B42:$E42)</f>
        <v>1.38170418683763</v>
      </c>
      <c r="H42" s="33" t="n">
        <f aca="false">SUMPRODUCT($B$7:$E$7,$B42:$E42)</f>
        <v>1.31317130372608</v>
      </c>
      <c r="I42" s="33" t="n">
        <f aca="false">SUMPRODUCT($B$8:$E$8,$B42:$E42)</f>
        <v>1.18733888733629</v>
      </c>
      <c r="J42" s="34" t="n">
        <f aca="false">SQRT(SUMXMY2(B42:E42,B41:E41))</f>
        <v>6.62915576047975E-012</v>
      </c>
    </row>
    <row r="45" customFormat="false" ht="15" hidden="false" customHeight="false" outlineLevel="0" collapsed="false">
      <c r="A45" s="26" t="s">
        <v>135</v>
      </c>
    </row>
    <row r="46" customFormat="false" ht="23.85" hidden="false" customHeight="false" outlineLevel="0" collapsed="false">
      <c r="B46" s="5" t="s">
        <v>92</v>
      </c>
      <c r="C46" s="5" t="s">
        <v>93</v>
      </c>
      <c r="D46" s="5" t="s">
        <v>94</v>
      </c>
      <c r="E46" s="5" t="s">
        <v>95</v>
      </c>
    </row>
    <row r="47" customFormat="false" ht="15" hidden="false" customHeight="false" outlineLevel="0" collapsed="false">
      <c r="A47" s="2" t="s">
        <v>92</v>
      </c>
      <c r="B47" s="23" t="n">
        <f aca="false">B5-$S$5*B$42*B$42</f>
        <v>0.71297181061048</v>
      </c>
      <c r="C47" s="23" t="n">
        <f aca="false">C5-$S$5*B$42*C$42</f>
        <v>0.244323843516229</v>
      </c>
      <c r="D47" s="23" t="n">
        <f aca="false">D5-$S$5*B$42*D$42</f>
        <v>-0.0595246366664226</v>
      </c>
      <c r="E47" s="23" t="n">
        <f aca="false">E5-$S$5*B$42*E$42</f>
        <v>0.279257774037442</v>
      </c>
    </row>
    <row r="48" customFormat="false" ht="15" hidden="false" customHeight="false" outlineLevel="0" collapsed="false">
      <c r="A48" s="2" t="s">
        <v>93</v>
      </c>
      <c r="B48" s="23" t="n">
        <f aca="false">B6-$S$5*C$42*B$42</f>
        <v>0.244323843516229</v>
      </c>
      <c r="C48" s="23" t="n">
        <f aca="false">C6-$S$5*C$42*C$42</f>
        <v>0.202486751290214</v>
      </c>
      <c r="D48" s="23" t="n">
        <f aca="false">D6-$S$5*C$42*D$42</f>
        <v>-0.0961923984554247</v>
      </c>
      <c r="E48" s="23" t="n">
        <f aca="false">E6-$S$5*C$42*E$42</f>
        <v>0.0413220329650178</v>
      </c>
    </row>
    <row r="49" customFormat="false" ht="15" hidden="false" customHeight="false" outlineLevel="0" collapsed="false">
      <c r="A49" s="2" t="s">
        <v>94</v>
      </c>
      <c r="B49" s="23" t="n">
        <f aca="false">B7-$S$5*D$42*B$42</f>
        <v>-0.0595246366664226</v>
      </c>
      <c r="C49" s="23" t="n">
        <f aca="false">C7-$S$5*D$42*C$42</f>
        <v>-0.0961923984554247</v>
      </c>
      <c r="D49" s="23" t="n">
        <f aca="false">D7-$S$5*D$42*D$42</f>
        <v>0.279638445341961</v>
      </c>
      <c r="E49" s="23" t="n">
        <f aca="false">E7-$S$5*D$42*E$42</f>
        <v>-0.238890873783814</v>
      </c>
    </row>
    <row r="50" customFormat="false" ht="15" hidden="false" customHeight="false" outlineLevel="0" collapsed="false">
      <c r="A50" s="2" t="s">
        <v>95</v>
      </c>
      <c r="B50" s="23" t="n">
        <f aca="false">B8-$S$5*E$42*B$42</f>
        <v>0.279257774037443</v>
      </c>
      <c r="C50" s="23" t="n">
        <f aca="false">C8-$S$5*E$42*C$42</f>
        <v>0.0413220329650178</v>
      </c>
      <c r="D50" s="23" t="n">
        <f aca="false">D8-$S$5*E$42*D$42</f>
        <v>-0.238890873783814</v>
      </c>
      <c r="E50" s="23" t="n">
        <f aca="false">E8-$S$5*E$42*E$42</f>
        <v>0.41107886128546</v>
      </c>
    </row>
    <row r="53" customFormat="false" ht="15" hidden="false" customHeight="false" outlineLevel="0" collapsed="false">
      <c r="A53" s="26" t="s">
        <v>136</v>
      </c>
    </row>
    <row r="54" customFormat="false" ht="15" hidden="false" customHeight="false" outlineLevel="0" collapsed="false">
      <c r="A54" s="5" t="s">
        <v>119</v>
      </c>
      <c r="B54" s="5" t="s">
        <v>120</v>
      </c>
      <c r="C54" s="5" t="s">
        <v>121</v>
      </c>
      <c r="D54" s="5" t="s">
        <v>122</v>
      </c>
      <c r="E54" s="5" t="s">
        <v>123</v>
      </c>
      <c r="F54" s="5" t="s">
        <v>124</v>
      </c>
      <c r="G54" s="5" t="s">
        <v>125</v>
      </c>
      <c r="H54" s="5" t="s">
        <v>126</v>
      </c>
      <c r="I54" s="5" t="s">
        <v>127</v>
      </c>
      <c r="J54" s="5" t="s">
        <v>128</v>
      </c>
    </row>
    <row r="55" customFormat="false" ht="15" hidden="false" customHeight="false" outlineLevel="0" collapsed="false">
      <c r="A55" s="31" t="n">
        <v>0</v>
      </c>
      <c r="B55" s="32" t="n">
        <v>0.5</v>
      </c>
      <c r="C55" s="32" t="n">
        <v>-0.5</v>
      </c>
      <c r="D55" s="32" t="n">
        <v>0.5</v>
      </c>
      <c r="E55" s="32" t="n">
        <v>-0.5</v>
      </c>
      <c r="F55" s="33" t="n">
        <f aca="false">SUMPRODUCT($B$47:$E$47,$B55:$E55)</f>
        <v>0.064932778195193</v>
      </c>
      <c r="G55" s="33" t="n">
        <f aca="false">SUMPRODUCT($B$48:$E$48,$B55:$E55)</f>
        <v>-0.0478386695972136</v>
      </c>
      <c r="H55" s="33" t="n">
        <f aca="false">SUMPRODUCT($B$49:$E$49,$B55:$E55)</f>
        <v>0.277598540457389</v>
      </c>
      <c r="I55" s="33" t="n">
        <f aca="false">SUMPRODUCT($B$50:$E$50,$B55:$E55)</f>
        <v>-0.206016996998425</v>
      </c>
    </row>
    <row r="56" customFormat="false" ht="15" hidden="false" customHeight="false" outlineLevel="0" collapsed="false">
      <c r="A56" s="31" t="n">
        <v>1</v>
      </c>
      <c r="B56" s="33" t="n">
        <f aca="false">F55/SQRT(SUMSQ($F55:$I55))</f>
        <v>0.182921023025931</v>
      </c>
      <c r="C56" s="33" t="n">
        <f aca="false">G55/SQRT(SUMSQ($F55:$I55))</f>
        <v>-0.13476550097112</v>
      </c>
      <c r="D56" s="33" t="n">
        <f aca="false">H55/SQRT(SUMSQ($F55:$I55))</f>
        <v>0.782018118157925</v>
      </c>
      <c r="E56" s="33" t="n">
        <f aca="false">I55/SQRT(SUMSQ($F55:$I55))</f>
        <v>-0.580366971799643</v>
      </c>
      <c r="F56" s="33" t="n">
        <f aca="false">SUMPRODUCT($B$47:$E$47,$B56:$E56)</f>
        <v>-0.111130225204664</v>
      </c>
      <c r="G56" s="33" t="n">
        <f aca="false">SUMPRODUCT($B$48:$E$48,$B56:$E56)</f>
        <v>-0.0818024026337451</v>
      </c>
      <c r="H56" s="33" t="n">
        <f aca="false">SUMPRODUCT($B$49:$E$49,$B56:$E56)</f>
        <v>0.359401813132601</v>
      </c>
      <c r="I56" s="33" t="n">
        <f aca="false">SUMPRODUCT($B$50:$E$50,$B56:$E56)</f>
        <v>-0.379880252215412</v>
      </c>
      <c r="J56" s="34" t="n">
        <f aca="false">SQRT(SUMXMY2(B56:E56,B55:E55))</f>
        <v>0.565622123016225</v>
      </c>
    </row>
    <row r="57" customFormat="false" ht="15" hidden="false" customHeight="false" outlineLevel="0" collapsed="false">
      <c r="A57" s="31" t="n">
        <v>2</v>
      </c>
      <c r="B57" s="33" t="n">
        <f aca="false">F56/SQRT(SUMSQ($F56:$I56))</f>
        <v>-0.205472753953978</v>
      </c>
      <c r="C57" s="33" t="n">
        <f aca="false">G56/SQRT(SUMSQ($F56:$I56))</f>
        <v>-0.15124746591895</v>
      </c>
      <c r="D57" s="33" t="n">
        <f aca="false">H56/SQRT(SUMSQ($F56:$I56))</f>
        <v>0.664511209118911</v>
      </c>
      <c r="E57" s="33" t="n">
        <f aca="false">I56/SQRT(SUMSQ($F56:$I56))</f>
        <v>-0.702374547083668</v>
      </c>
      <c r="F57" s="33" t="n">
        <f aca="false">SUMPRODUCT($B$47:$E$47,$B57:$E57)</f>
        <v>-0.419147984455807</v>
      </c>
      <c r="G57" s="33" t="n">
        <f aca="false">SUMPRODUCT($B$48:$E$48,$B57:$E57)</f>
        <v>-0.173771972192749</v>
      </c>
      <c r="H57" s="33" t="n">
        <f aca="false">SUMPRODUCT($B$49:$E$49,$B57:$E57)</f>
        <v>0.380393298237656</v>
      </c>
      <c r="I57" s="33" t="n">
        <f aca="false">SUMPRODUCT($B$50:$E$50,$B57:$E57)</f>
        <v>-0.51110670906371</v>
      </c>
      <c r="J57" s="34" t="n">
        <f aca="false">SQRT(SUMXMY2(B57:E57,B56:E56))</f>
        <v>0.424046109832233</v>
      </c>
    </row>
    <row r="58" customFormat="false" ht="15" hidden="false" customHeight="false" outlineLevel="0" collapsed="false">
      <c r="A58" s="31" t="n">
        <v>3</v>
      </c>
      <c r="B58" s="33" t="n">
        <f aca="false">F57/SQRT(SUMSQ($F57:$I57))</f>
        <v>-0.535869193981076</v>
      </c>
      <c r="C58" s="33" t="n">
        <f aca="false">G57/SQRT(SUMSQ($F57:$I57))</f>
        <v>-0.22216269701578</v>
      </c>
      <c r="D58" s="33" t="n">
        <f aca="false">H57/SQRT(SUMSQ($F57:$I57))</f>
        <v>0.486322391331713</v>
      </c>
      <c r="E58" s="33" t="n">
        <f aca="false">I57/SQRT(SUMSQ($F57:$I57))</f>
        <v>-0.653435899447032</v>
      </c>
      <c r="F58" s="33" t="n">
        <f aca="false">SUMPRODUCT($B$47:$E$47,$B58:$E58)</f>
        <v>-0.647764491906392</v>
      </c>
      <c r="G58" s="33" t="n">
        <f aca="false">SUMPRODUCT($B$48:$E$48,$B58:$E58)</f>
        <v>-0.249692440894249</v>
      </c>
      <c r="H58" s="33" t="n">
        <f aca="false">SUMPRODUCT($B$49:$E$49,$B58:$E58)</f>
        <v>0.345362092173325</v>
      </c>
      <c r="I58" s="33" t="n">
        <f aca="false">SUMPRODUCT($B$50:$E$50,$B58:$E58)</f>
        <v>-0.543617519049671</v>
      </c>
      <c r="J58" s="34" t="n">
        <f aca="false">SQRT(SUMXMY2(B58:E58,B57:E57))</f>
        <v>0.385145457718248</v>
      </c>
    </row>
    <row r="59" customFormat="false" ht="15" hidden="false" customHeight="false" outlineLevel="0" collapsed="false">
      <c r="A59" s="31" t="n">
        <v>4</v>
      </c>
      <c r="B59" s="33" t="n">
        <f aca="false">F58/SQRT(SUMSQ($F58:$I58))</f>
        <v>-0.684043679369429</v>
      </c>
      <c r="C59" s="33" t="n">
        <f aca="false">G58/SQRT(SUMSQ($F58:$I58))</f>
        <v>-0.263676904359738</v>
      </c>
      <c r="D59" s="33" t="n">
        <f aca="false">H58/SQRT(SUMSQ($F58:$I58))</f>
        <v>0.36470470239839</v>
      </c>
      <c r="E59" s="33" t="n">
        <f aca="false">I58/SQRT(SUMSQ($F58:$I58))</f>
        <v>-0.57406377247698</v>
      </c>
      <c r="F59" s="33" t="n">
        <f aca="false">SUMPRODUCT($B$47:$E$47,$B59:$E59)</f>
        <v>-0.734147101494567</v>
      </c>
      <c r="G59" s="33" t="n">
        <f aca="false">SUMPRODUCT($B$48:$E$48,$B59:$E59)</f>
        <v>-0.279322562812575</v>
      </c>
      <c r="H59" s="33" t="n">
        <f aca="false">SUMPRODUCT($B$49:$E$49,$B59:$E59)</f>
        <v>0.30520521752834</v>
      </c>
      <c r="I59" s="33" t="n">
        <f aca="false">SUMPRODUCT($B$50:$E$50,$B59:$E59)</f>
        <v>-0.525030287903246</v>
      </c>
      <c r="J59" s="34" t="n">
        <f aca="false">SQRT(SUMXMY2(B59:E59,B58:E58))</f>
        <v>0.211588998609882</v>
      </c>
    </row>
    <row r="60" customFormat="false" ht="15" hidden="false" customHeight="false" outlineLevel="0" collapsed="false">
      <c r="A60" s="31" t="n">
        <v>5</v>
      </c>
      <c r="B60" s="33" t="n">
        <f aca="false">F59/SQRT(SUMSQ($F59:$I59))</f>
        <v>-0.739415690329503</v>
      </c>
      <c r="C60" s="33" t="n">
        <f aca="false">G59/SQRT(SUMSQ($F59:$I59))</f>
        <v>-0.281327114397379</v>
      </c>
      <c r="D60" s="33" t="n">
        <f aca="false">H59/SQRT(SUMSQ($F59:$I59))</f>
        <v>0.307395515355792</v>
      </c>
      <c r="E60" s="33" t="n">
        <f aca="false">I59/SQRT(SUMSQ($F59:$I59))</f>
        <v>-0.528798155006744</v>
      </c>
      <c r="F60" s="33" t="n">
        <f aca="false">SUMPRODUCT($B$47:$E$47,$B60:$E60)</f>
        <v>-0.761886067449652</v>
      </c>
      <c r="G60" s="33" t="n">
        <f aca="false">SUMPRODUCT($B$48:$E$48,$B60:$E60)</f>
        <v>-0.28904202355123</v>
      </c>
      <c r="H60" s="33" t="n">
        <f aca="false">SUMPRODUCT($B$49:$E$49,$B60:$E60)</f>
        <v>0.283359637520758</v>
      </c>
      <c r="I60" s="33" t="n">
        <f aca="false">SUMPRODUCT($B$50:$E$50,$B60:$E60)</f>
        <v>-0.508924314735453</v>
      </c>
      <c r="J60" s="34" t="n">
        <f aca="false">SQRT(SUMXMY2(B60:E60,B59:E59))</f>
        <v>0.093332248213469</v>
      </c>
    </row>
    <row r="61" customFormat="false" ht="15" hidden="false" customHeight="false" outlineLevel="0" collapsed="false">
      <c r="A61" s="31" t="n">
        <v>6</v>
      </c>
      <c r="B61" s="33" t="n">
        <f aca="false">F60/SQRT(SUMSQ($F60:$I60))</f>
        <v>-0.760627390699856</v>
      </c>
      <c r="C61" s="33" t="n">
        <f aca="false">G60/SQRT(SUMSQ($F60:$I60))</f>
        <v>-0.288564510586626</v>
      </c>
      <c r="D61" s="33" t="n">
        <f aca="false">H60/SQRT(SUMSQ($F60:$I60))</f>
        <v>0.282891512163416</v>
      </c>
      <c r="E61" s="33" t="n">
        <f aca="false">I60/SQRT(SUMSQ($F60:$I60))</f>
        <v>-0.508083544402813</v>
      </c>
      <c r="F61" s="33" t="n">
        <f aca="false">SUMPRODUCT($B$47:$E$47,$B61:$E61)</f>
        <v>-0.771534372388631</v>
      </c>
      <c r="G61" s="33" t="n">
        <f aca="false">SUMPRODUCT($B$48:$E$48,$B61:$E61)</f>
        <v>-0.292476955894323</v>
      </c>
      <c r="H61" s="33" t="n">
        <f aca="false">SUMPRODUCT($B$49:$E$49,$B61:$E61)</f>
        <v>0.273517645991761</v>
      </c>
      <c r="I61" s="33" t="n">
        <f aca="false">SUMPRODUCT($B$50:$E$50,$B61:$E61)</f>
        <v>-0.500777789615477</v>
      </c>
      <c r="J61" s="34" t="n">
        <f aca="false">SQRT(SUMXMY2(B61:E61,B60:E60))</f>
        <v>0.0391389499236529</v>
      </c>
    </row>
    <row r="62" customFormat="false" ht="15" hidden="false" customHeight="false" outlineLevel="0" collapsed="false">
      <c r="A62" s="31" t="n">
        <v>7</v>
      </c>
      <c r="B62" s="33" t="n">
        <f aca="false">F61/SQRT(SUMSQ($F61:$I61))</f>
        <v>-0.769077878953429</v>
      </c>
      <c r="C62" s="33" t="n">
        <f aca="false">G61/SQRT(SUMSQ($F61:$I61))</f>
        <v>-0.291545736563319</v>
      </c>
      <c r="D62" s="33" t="n">
        <f aca="false">H61/SQRT(SUMSQ($F61:$I61))</f>
        <v>0.272646791334035</v>
      </c>
      <c r="E62" s="33" t="n">
        <f aca="false">I61/SQRT(SUMSQ($F61:$I61))</f>
        <v>-0.4991833598704</v>
      </c>
      <c r="F62" s="33" t="n">
        <f aca="false">SUMPRODUCT($B$47:$E$47,$B62:$E62)</f>
        <v>-0.775192457882178</v>
      </c>
      <c r="G62" s="33" t="n">
        <f aca="false">SUMPRODUCT($B$48:$E$48,$B62:$E62)</f>
        <v>-0.29379203244018</v>
      </c>
      <c r="H62" s="33" t="n">
        <f aca="false">SUMPRODUCT($B$49:$E$49,$B62:$E62)</f>
        <v>0.269316438846269</v>
      </c>
      <c r="I62" s="33" t="n">
        <f aca="false">SUMPRODUCT($B$50:$E$50,$B62:$E62)</f>
        <v>-0.497154796439367</v>
      </c>
      <c r="J62" s="34" t="n">
        <f aca="false">SQRT(SUMXMY2(B62:E62,B61:E61))</f>
        <v>0.0162624121713498</v>
      </c>
    </row>
    <row r="63" customFormat="false" ht="15" hidden="false" customHeight="false" outlineLevel="0" collapsed="false">
      <c r="A63" s="31" t="n">
        <v>8</v>
      </c>
      <c r="B63" s="33" t="n">
        <f aca="false">F62/SQRT(SUMSQ($F62:$I62))</f>
        <v>-0.772519782195213</v>
      </c>
      <c r="C63" s="33" t="n">
        <f aca="false">G62/SQRT(SUMSQ($F62:$I62))</f>
        <v>-0.292779108727954</v>
      </c>
      <c r="D63" s="33" t="n">
        <f aca="false">H62/SQRT(SUMSQ($F62:$I62))</f>
        <v>0.268387901047834</v>
      </c>
      <c r="E63" s="33" t="n">
        <f aca="false">I62/SQRT(SUMSQ($F62:$I62))</f>
        <v>-0.495440727212311</v>
      </c>
      <c r="F63" s="33" t="n">
        <f aca="false">SUMPRODUCT($B$47:$E$47,$B63:$E63)</f>
        <v>-0.776649111934142</v>
      </c>
      <c r="G63" s="33" t="n">
        <f aca="false">SUMPRODUCT($B$48:$E$48,$B63:$E63)</f>
        <v>-0.29431838693051</v>
      </c>
      <c r="H63" s="33" t="n">
        <f aca="false">SUMPRODUCT($B$49:$E$49,$B63:$E63)</f>
        <v>0.267554927668423</v>
      </c>
      <c r="I63" s="33" t="n">
        <f aca="false">SUMPRODUCT($B$50:$E$50,$B63:$E63)</f>
        <v>-0.495611012929249</v>
      </c>
      <c r="J63" s="34" t="n">
        <f aca="false">SQRT(SUMXMY2(B63:E63,B62:E62))</f>
        <v>0.00674635831434857</v>
      </c>
    </row>
    <row r="64" customFormat="false" ht="15" hidden="false" customHeight="false" outlineLevel="0" collapsed="false">
      <c r="A64" s="31" t="n">
        <v>9</v>
      </c>
      <c r="B64" s="33" t="n">
        <f aca="false">F63/SQRT(SUMSQ($F63:$I63))</f>
        <v>-0.773936162441861</v>
      </c>
      <c r="C64" s="33" t="n">
        <f aca="false">G63/SQRT(SUMSQ($F63:$I63))</f>
        <v>-0.293290289548922</v>
      </c>
      <c r="D64" s="33" t="n">
        <f aca="false">H63/SQRT(SUMSQ($F63:$I63))</f>
        <v>0.266620318983469</v>
      </c>
      <c r="E64" s="33" t="n">
        <f aca="false">I63/SQRT(SUMSQ($F63:$I63))</f>
        <v>-0.493879770821024</v>
      </c>
      <c r="F64" s="33" t="n">
        <f aca="false">SUMPRODUCT($B$47:$E$47,$B64:$E64)</f>
        <v>-0.777242720898659</v>
      </c>
      <c r="G64" s="33" t="n">
        <f aca="false">SUMPRODUCT($B$48:$E$48,$B64:$E64)</f>
        <v>-0.294533419890316</v>
      </c>
      <c r="H64" s="33" t="n">
        <f aca="false">SUMPRODUCT($B$49:$E$49,$B64:$E64)</f>
        <v>0.266821226760454</v>
      </c>
      <c r="I64" s="33" t="n">
        <f aca="false">SUMPRODUCT($B$50:$E$50,$B64:$E64)</f>
        <v>-0.494963735755166</v>
      </c>
      <c r="J64" s="34" t="n">
        <f aca="false">SQRT(SUMXMY2(B64:E64,B63:E63))</f>
        <v>0.0027979224514961</v>
      </c>
    </row>
    <row r="65" customFormat="false" ht="15" hidden="false" customHeight="false" outlineLevel="0" collapsed="false">
      <c r="A65" s="31" t="n">
        <v>10</v>
      </c>
      <c r="B65" s="33" t="n">
        <f aca="false">F64/SQRT(SUMSQ($F64:$I64))</f>
        <v>-0.774521630288358</v>
      </c>
      <c r="C65" s="33" t="n">
        <f aca="false">G64/SQRT(SUMSQ($F64:$I64))</f>
        <v>-0.293502272088305</v>
      </c>
      <c r="D65" s="33" t="n">
        <f aca="false">H64/SQRT(SUMSQ($F64:$I64))</f>
        <v>0.265887098057482</v>
      </c>
      <c r="E65" s="33" t="n">
        <f aca="false">I64/SQRT(SUMSQ($F64:$I64))</f>
        <v>-0.493230890740875</v>
      </c>
      <c r="F65" s="33" t="n">
        <f aca="false">SUMPRODUCT($B$47:$E$47,$B65:$E65)</f>
        <v>-0.777487085841996</v>
      </c>
      <c r="G65" s="33" t="n">
        <f aca="false">SUMPRODUCT($B$48:$E$48,$B65:$E65)</f>
        <v>-0.294622043977026</v>
      </c>
      <c r="H65" s="33" t="n">
        <f aca="false">SUMPRODUCT($B$49:$E$49,$B65:$E65)</f>
        <v>0.266516419341027</v>
      </c>
      <c r="I65" s="33" t="n">
        <f aca="false">SUMPRODUCT($B$50:$E$50,$B65:$E65)</f>
        <v>-0.494694091080086</v>
      </c>
      <c r="J65" s="34" t="n">
        <f aca="false">SQRT(SUMXMY2(B65:E65,B64:E64))</f>
        <v>0.00116033076362062</v>
      </c>
    </row>
    <row r="66" customFormat="false" ht="15" hidden="false" customHeight="false" outlineLevel="0" collapsed="false">
      <c r="A66" s="31" t="n">
        <v>11</v>
      </c>
      <c r="B66" s="33" t="n">
        <f aca="false">F65/SQRT(SUMSQ($F65:$I65))</f>
        <v>-0.774764095873042</v>
      </c>
      <c r="C66" s="33" t="n">
        <f aca="false">G65/SQRT(SUMSQ($F65:$I65))</f>
        <v>-0.293590190348855</v>
      </c>
      <c r="D66" s="33" t="n">
        <f aca="false">H65/SQRT(SUMSQ($F65:$I65))</f>
        <v>0.265582999931699</v>
      </c>
      <c r="E66" s="33" t="n">
        <f aca="false">I65/SQRT(SUMSQ($F65:$I65))</f>
        <v>-0.492961525906668</v>
      </c>
      <c r="F66" s="33" t="n">
        <f aca="false">SUMPRODUCT($B$47:$E$47,$B66:$E66)</f>
        <v>-0.777588113941798</v>
      </c>
      <c r="G66" s="33" t="n">
        <f aca="false">SUMPRODUCT($B$48:$E$48,$B66:$E66)</f>
        <v>-0.294658703752911</v>
      </c>
      <c r="H66" s="33" t="n">
        <f aca="false">SUMPRODUCT($B$49:$E$49,$B66:$E66)</f>
        <v>0.266389922757474</v>
      </c>
      <c r="I66" s="33" t="n">
        <f aca="false">SUMPRODUCT($B$50:$E$50,$B66:$E66)</f>
        <v>-0.494582057984505</v>
      </c>
      <c r="J66" s="34" t="n">
        <f aca="false">SQRT(SUMXMY2(B66:E66,B65:E65))</f>
        <v>0.000481198778372106</v>
      </c>
    </row>
    <row r="67" customFormat="false" ht="15" hidden="false" customHeight="false" outlineLevel="0" collapsed="false">
      <c r="A67" s="31" t="n">
        <v>12</v>
      </c>
      <c r="B67" s="33" t="n">
        <f aca="false">F66/SQRT(SUMSQ($F66:$I66))</f>
        <v>-0.774864590595428</v>
      </c>
      <c r="C67" s="33" t="n">
        <f aca="false">G66/SQRT(SUMSQ($F66:$I66))</f>
        <v>-0.293626653693897</v>
      </c>
      <c r="D67" s="33" t="n">
        <f aca="false">H66/SQRT(SUMSQ($F66:$I66))</f>
        <v>0.265456884866514</v>
      </c>
      <c r="E67" s="33" t="n">
        <f aca="false">I66/SQRT(SUMSQ($F66:$I66))</f>
        <v>-0.492849770983887</v>
      </c>
      <c r="F67" s="33" t="n">
        <f aca="false">SUMPRODUCT($B$47:$E$47,$B67:$E67)</f>
        <v>-0.777629957326176</v>
      </c>
      <c r="G67" s="33" t="n">
        <f aca="false">SUMPRODUCT($B$48:$E$48,$B67:$E67)</f>
        <v>-0.294673891102812</v>
      </c>
      <c r="H67" s="33" t="n">
        <f aca="false">SUMPRODUCT($B$49:$E$49,$B67:$E67)</f>
        <v>0.266337448314011</v>
      </c>
      <c r="I67" s="33" t="n">
        <f aca="false">SUMPRODUCT($B$50:$E$50,$B67:$E67)</f>
        <v>-0.494535560832008</v>
      </c>
      <c r="J67" s="34" t="n">
        <f aca="false">SQRT(SUMXMY2(B67:E67,B66:E66))</f>
        <v>0.000199556852028322</v>
      </c>
    </row>
    <row r="68" customFormat="false" ht="15" hidden="false" customHeight="false" outlineLevel="0" collapsed="false">
      <c r="A68" s="31" t="n">
        <v>13</v>
      </c>
      <c r="B68" s="33" t="n">
        <f aca="false">F67/SQRT(SUMSQ($F67:$I67))</f>
        <v>-0.774906256541614</v>
      </c>
      <c r="C68" s="33" t="n">
        <f aca="false">G67/SQRT(SUMSQ($F67:$I67))</f>
        <v>-0.293641776147845</v>
      </c>
      <c r="D68" s="33" t="n">
        <f aca="false">H67/SQRT(SUMSQ($F67:$I67))</f>
        <v>0.265404583639629</v>
      </c>
      <c r="E68" s="33" t="n">
        <f aca="false">I67/SQRT(SUMSQ($F67:$I67))</f>
        <v>-0.492803417050326</v>
      </c>
      <c r="F68" s="33" t="n">
        <f aca="false">SUMPRODUCT($B$47:$E$47,$B68:$E68)</f>
        <v>-0.777647300839509</v>
      </c>
      <c r="G68" s="33" t="n">
        <f aca="false">SUMPRODUCT($B$48:$E$48,$B68:$E68)</f>
        <v>-0.294680186764272</v>
      </c>
      <c r="H68" s="33" t="n">
        <f aca="false">SUMPRODUCT($B$49:$E$49,$B68:$E68)</f>
        <v>0.266315684163967</v>
      </c>
      <c r="I68" s="33" t="n">
        <f aca="false">SUMPRODUCT($B$50:$E$50,$B68:$E68)</f>
        <v>-0.494516271853918</v>
      </c>
      <c r="J68" s="34" t="n">
        <f aca="false">SQRT(SUMXMY2(B68:E68,B67:E67))</f>
        <v>8.27577499407593E-005</v>
      </c>
    </row>
    <row r="69" customFormat="false" ht="15" hidden="false" customHeight="false" outlineLevel="0" collapsed="false">
      <c r="A69" s="31" t="n">
        <v>14</v>
      </c>
      <c r="B69" s="33" t="n">
        <f aca="false">F68/SQRT(SUMSQ($F68:$I68))</f>
        <v>-0.774923533997094</v>
      </c>
      <c r="C69" s="33" t="n">
        <f aca="false">G68/SQRT(SUMSQ($F68:$I68))</f>
        <v>-0.293648047745775</v>
      </c>
      <c r="D69" s="33" t="n">
        <f aca="false">H68/SQRT(SUMSQ($F68:$I68))</f>
        <v>0.265382893901135</v>
      </c>
      <c r="E69" s="33" t="n">
        <f aca="false">I68/SQRT(SUMSQ($F68:$I68))</f>
        <v>-0.492784192255807</v>
      </c>
      <c r="F69" s="33" t="n">
        <f aca="false">SUMPRODUCT($B$47:$E$47,$B69:$E69)</f>
        <v>-0.77765449173201</v>
      </c>
      <c r="G69" s="33" t="n">
        <f aca="false">SUMPRODUCT($B$48:$E$48,$B69:$E69)</f>
        <v>-0.294682797178531</v>
      </c>
      <c r="H69" s="33" t="n">
        <f aca="false">SUMPRODUCT($B$49:$E$49,$B69:$E69)</f>
        <v>0.266306657965561</v>
      </c>
      <c r="I69" s="33" t="n">
        <f aca="false">SUMPRODUCT($B$50:$E$50,$B69:$E69)</f>
        <v>-0.494508271485633</v>
      </c>
      <c r="J69" s="34" t="n">
        <f aca="false">SQRT(SUMXMY2(B69:E69,B68:E68))</f>
        <v>3.43202693561885E-005</v>
      </c>
    </row>
    <row r="70" customFormat="false" ht="15" hidden="false" customHeight="false" outlineLevel="0" collapsed="false">
      <c r="A70" s="31" t="n">
        <v>15</v>
      </c>
      <c r="B70" s="33" t="n">
        <f aca="false">F69/SQRT(SUMSQ($F69:$I69))</f>
        <v>-0.774930698789552</v>
      </c>
      <c r="C70" s="33" t="n">
        <f aca="false">G69/SQRT(SUMSQ($F69:$I69))</f>
        <v>-0.293650648670739</v>
      </c>
      <c r="D70" s="33" t="n">
        <f aca="false">H69/SQRT(SUMSQ($F69:$I69))</f>
        <v>0.265373899004855</v>
      </c>
      <c r="E70" s="33" t="n">
        <f aca="false">I69/SQRT(SUMSQ($F69:$I69))</f>
        <v>-0.492776219328563</v>
      </c>
      <c r="F70" s="33" t="n">
        <f aca="false">SUMPRODUCT($B$47:$E$47,$B70:$E70)</f>
        <v>-0.777657473575197</v>
      </c>
      <c r="G70" s="33" t="n">
        <f aca="false">SUMPRODUCT($B$48:$E$48,$B70:$E70)</f>
        <v>-0.294683879662799</v>
      </c>
      <c r="H70" s="33" t="n">
        <f aca="false">SUMPRODUCT($B$49:$E$49,$B70:$E70)</f>
        <v>0.266302914658072</v>
      </c>
      <c r="I70" s="33" t="n">
        <f aca="false">SUMPRODUCT($B$50:$E$50,$B70:$E70)</f>
        <v>-0.494504953484649</v>
      </c>
      <c r="J70" s="34" t="n">
        <f aca="false">SQRT(SUMXMY2(B70:E70,B69:E69))</f>
        <v>1.42328770652111E-005</v>
      </c>
    </row>
    <row r="71" customFormat="false" ht="15" hidden="false" customHeight="false" outlineLevel="0" collapsed="false">
      <c r="A71" s="31" t="n">
        <v>16</v>
      </c>
      <c r="B71" s="33" t="n">
        <f aca="false">F70/SQRT(SUMSQ($F70:$I70))</f>
        <v>-0.774933670031519</v>
      </c>
      <c r="C71" s="33" t="n">
        <f aca="false">G70/SQRT(SUMSQ($F70:$I70))</f>
        <v>-0.293651727303997</v>
      </c>
      <c r="D71" s="33" t="n">
        <f aca="false">H70/SQRT(SUMSQ($F70:$I70))</f>
        <v>0.265370168754785</v>
      </c>
      <c r="E71" s="33" t="n">
        <f aca="false">I70/SQRT(SUMSQ($F70:$I70))</f>
        <v>-0.492772912849232</v>
      </c>
      <c r="F71" s="33" t="n">
        <f aca="false">SUMPRODUCT($B$47:$E$47,$B71:$E71)</f>
        <v>-0.777658710120948</v>
      </c>
      <c r="G71" s="33" t="n">
        <f aca="false">SUMPRODUCT($B$48:$E$48,$B71:$E71)</f>
        <v>-0.294684328564852</v>
      </c>
      <c r="H71" s="33" t="n">
        <f aca="false">SUMPRODUCT($B$49:$E$49,$B71:$E71)</f>
        <v>0.266301362267424</v>
      </c>
      <c r="I71" s="33" t="n">
        <f aca="false">SUMPRODUCT($B$50:$E$50,$B71:$E71)</f>
        <v>-0.494503577451929</v>
      </c>
      <c r="J71" s="34" t="n">
        <f aca="false">SQRT(SUMXMY2(B71:E71,B70:E70))</f>
        <v>5.90248250196562E-006</v>
      </c>
    </row>
    <row r="72" customFormat="false" ht="15" hidden="false" customHeight="false" outlineLevel="0" collapsed="false">
      <c r="A72" s="31" t="n">
        <v>17</v>
      </c>
      <c r="B72" s="33" t="n">
        <f aca="false">F71/SQRT(SUMSQ($F71:$I71))</f>
        <v>-0.774934902219158</v>
      </c>
      <c r="C72" s="33" t="n">
        <f aca="false">G71/SQRT(SUMSQ($F71:$I71))</f>
        <v>-0.293652174623499</v>
      </c>
      <c r="D72" s="33" t="n">
        <f aca="false">H71/SQRT(SUMSQ($F71:$I71))</f>
        <v>0.26536862179225</v>
      </c>
      <c r="E72" s="33" t="n">
        <f aca="false">I71/SQRT(SUMSQ($F71:$I71))</f>
        <v>-0.49277154161899</v>
      </c>
      <c r="F72" s="33" t="n">
        <f aca="false">SUMPRODUCT($B$47:$E$47,$B72:$E72)</f>
        <v>-0.777659222917732</v>
      </c>
      <c r="G72" s="33" t="n">
        <f aca="false">SUMPRODUCT($B$48:$E$48,$B72:$E72)</f>
        <v>-0.294684514725887</v>
      </c>
      <c r="H72" s="33" t="n">
        <f aca="false">SUMPRODUCT($B$49:$E$49,$B72:$E72)</f>
        <v>0.266300718477092</v>
      </c>
      <c r="I72" s="33" t="n">
        <f aca="false">SUMPRODUCT($B$50:$E$50,$B72:$E72)</f>
        <v>-0.494503006795059</v>
      </c>
      <c r="J72" s="34" t="n">
        <f aca="false">SQRT(SUMXMY2(B72:E72,B71:E71))</f>
        <v>2.44780444033587E-006</v>
      </c>
    </row>
    <row r="73" customFormat="false" ht="15" hidden="false" customHeight="false" outlineLevel="0" collapsed="false">
      <c r="A73" s="31" t="n">
        <v>18</v>
      </c>
      <c r="B73" s="33" t="n">
        <f aca="false">F72/SQRT(SUMSQ($F72:$I72))</f>
        <v>-0.774935413215187</v>
      </c>
      <c r="C73" s="33" t="n">
        <f aca="false">G72/SQRT(SUMSQ($F72:$I72))</f>
        <v>-0.29365236013073</v>
      </c>
      <c r="D73" s="33" t="n">
        <f aca="false">H72/SQRT(SUMSQ($F72:$I72))</f>
        <v>0.265367980255251</v>
      </c>
      <c r="E73" s="33" t="n">
        <f aca="false">I72/SQRT(SUMSQ($F72:$I72))</f>
        <v>-0.492770972957934</v>
      </c>
      <c r="F73" s="33" t="n">
        <f aca="false">SUMPRODUCT($B$47:$E$47,$B73:$E73)</f>
        <v>-0.777659435577058</v>
      </c>
      <c r="G73" s="33" t="n">
        <f aca="false">SUMPRODUCT($B$48:$E$48,$B73:$E73)</f>
        <v>-0.294684591927943</v>
      </c>
      <c r="H73" s="33" t="n">
        <f aca="false">SUMPRODUCT($B$49:$E$49,$B73:$E73)</f>
        <v>0.266300451491985</v>
      </c>
      <c r="I73" s="33" t="n">
        <f aca="false">SUMPRODUCT($B$50:$E$50,$B73:$E73)</f>
        <v>-0.494502770138335</v>
      </c>
      <c r="J73" s="34" t="n">
        <f aca="false">SQRT(SUMXMY2(B73:E73,B72:E72))</f>
        <v>1.01512314123642E-006</v>
      </c>
    </row>
    <row r="74" customFormat="false" ht="15" hidden="false" customHeight="false" outlineLevel="0" collapsed="false">
      <c r="A74" s="31" t="n">
        <v>19</v>
      </c>
      <c r="B74" s="33" t="n">
        <f aca="false">F73/SQRT(SUMSQ($F73:$I73))</f>
        <v>-0.774935625128858</v>
      </c>
      <c r="C74" s="33" t="n">
        <f aca="false">G73/SQRT(SUMSQ($F73:$I73))</f>
        <v>-0.293652437062078</v>
      </c>
      <c r="D74" s="33" t="n">
        <f aca="false">H73/SQRT(SUMSQ($F73:$I73))</f>
        <v>0.265367714205005</v>
      </c>
      <c r="E74" s="33" t="n">
        <f aca="false">I73/SQRT(SUMSQ($F73:$I73))</f>
        <v>-0.492770737129609</v>
      </c>
      <c r="F74" s="33" t="n">
        <f aca="false">SUMPRODUCT($B$47:$E$47,$B74:$E74)</f>
        <v>-0.777659523768258</v>
      </c>
      <c r="G74" s="33" t="n">
        <f aca="false">SUMPRODUCT($B$48:$E$48,$B74:$E74)</f>
        <v>-0.294684623944168</v>
      </c>
      <c r="H74" s="33" t="n">
        <f aca="false">SUMPRODUCT($B$49:$E$49,$B74:$E74)</f>
        <v>0.266300340771168</v>
      </c>
      <c r="I74" s="33" t="n">
        <f aca="false">SUMPRODUCT($B$50:$E$50,$B74:$E74)</f>
        <v>-0.49450267199482</v>
      </c>
      <c r="J74" s="34" t="n">
        <f aca="false">SQRT(SUMXMY2(B74:E74,B73:E73))</f>
        <v>4.20979296726213E-007</v>
      </c>
    </row>
    <row r="75" customFormat="false" ht="15" hidden="false" customHeight="false" outlineLevel="0" collapsed="false">
      <c r="A75" s="31" t="n">
        <v>20</v>
      </c>
      <c r="B75" s="33" t="n">
        <f aca="false">F74/SQRT(SUMSQ($F74:$I74))</f>
        <v>-0.774935713011024</v>
      </c>
      <c r="C75" s="33" t="n">
        <f aca="false">G74/SQRT(SUMSQ($F74:$I74))</f>
        <v>-0.293652468966111</v>
      </c>
      <c r="D75" s="33" t="n">
        <f aca="false">H74/SQRT(SUMSQ($F74:$I74))</f>
        <v>0.26536760387195</v>
      </c>
      <c r="E75" s="33" t="n">
        <f aca="false">I74/SQRT(SUMSQ($F74:$I74))</f>
        <v>-0.492770639329762</v>
      </c>
      <c r="F75" s="33" t="n">
        <f aca="false">SUMPRODUCT($B$47:$E$47,$B75:$E75)</f>
        <v>-0.777659560341778</v>
      </c>
      <c r="G75" s="33" t="n">
        <f aca="false">SUMPRODUCT($B$48:$E$48,$B75:$E75)</f>
        <v>-0.294684637221531</v>
      </c>
      <c r="H75" s="33" t="n">
        <f aca="false">SUMPRODUCT($B$49:$E$49,$B75:$E75)</f>
        <v>0.266300294854393</v>
      </c>
      <c r="I75" s="33" t="n">
        <f aca="false">SUMPRODUCT($B$50:$E$50,$B75:$E75)</f>
        <v>-0.494502631293928</v>
      </c>
      <c r="J75" s="34" t="n">
        <f aca="false">SQRT(SUMXMY2(B75:E75,B74:E74))</f>
        <v>1.74583320053907E-007</v>
      </c>
    </row>
    <row r="76" customFormat="false" ht="15" hidden="false" customHeight="false" outlineLevel="0" collapsed="false">
      <c r="A76" s="31" t="n">
        <v>21</v>
      </c>
      <c r="B76" s="33" t="n">
        <f aca="false">F75/SQRT(SUMSQ($F75:$I75))</f>
        <v>-0.77493574945642</v>
      </c>
      <c r="C76" s="33" t="n">
        <f aca="false">G75/SQRT(SUMSQ($F75:$I75))</f>
        <v>-0.29365248219696</v>
      </c>
      <c r="D76" s="33" t="n">
        <f aca="false">H75/SQRT(SUMSQ($F75:$I75))</f>
        <v>0.265367558115993</v>
      </c>
      <c r="E76" s="33" t="n">
        <f aca="false">I75/SQRT(SUMSQ($F75:$I75))</f>
        <v>-0.492770598771413</v>
      </c>
      <c r="F76" s="33" t="n">
        <f aca="false">SUMPRODUCT($B$47:$E$47,$B76:$E76)</f>
        <v>-0.777659575509088</v>
      </c>
      <c r="G76" s="33" t="n">
        <f aca="false">SUMPRODUCT($B$48:$E$48,$B76:$E76)</f>
        <v>-0.294684642727753</v>
      </c>
      <c r="H76" s="33" t="n">
        <f aca="false">SUMPRODUCT($B$49:$E$49,$B76:$E76)</f>
        <v>0.266300275812355</v>
      </c>
      <c r="I76" s="33" t="n">
        <f aca="false">SUMPRODUCT($B$50:$E$50,$B76:$E76)</f>
        <v>-0.494502614414953</v>
      </c>
      <c r="J76" s="34" t="n">
        <f aca="false">SQRT(SUMXMY2(B76:E76,B75:E75))</f>
        <v>7.24010322424982E-008</v>
      </c>
    </row>
    <row r="77" customFormat="false" ht="15" hidden="false" customHeight="false" outlineLevel="0" collapsed="false">
      <c r="A77" s="31" t="n">
        <v>22</v>
      </c>
      <c r="B77" s="33" t="n">
        <f aca="false">F76/SQRT(SUMSQ($F76:$I76))</f>
        <v>-0.774935764570601</v>
      </c>
      <c r="C77" s="33" t="n">
        <f aca="false">G76/SQRT(SUMSQ($F76:$I76))</f>
        <v>-0.293652487683895</v>
      </c>
      <c r="D77" s="33" t="n">
        <f aca="false">H76/SQRT(SUMSQ($F76:$I76))</f>
        <v>0.26536753914065</v>
      </c>
      <c r="E77" s="33" t="n">
        <f aca="false">I76/SQRT(SUMSQ($F76:$I76))</f>
        <v>-0.492770581951555</v>
      </c>
      <c r="F77" s="33" t="n">
        <f aca="false">SUMPRODUCT($B$47:$E$47,$B77:$E77)</f>
        <v>-0.777659581799086</v>
      </c>
      <c r="G77" s="33" t="n">
        <f aca="false">SUMPRODUCT($B$48:$E$48,$B77:$E77)</f>
        <v>-0.294684645011224</v>
      </c>
      <c r="H77" s="33" t="n">
        <f aca="false">SUMPRODUCT($B$49:$E$49,$B77:$E77)</f>
        <v>0.266300267915476</v>
      </c>
      <c r="I77" s="33" t="n">
        <f aca="false">SUMPRODUCT($B$50:$E$50,$B77:$E77)</f>
        <v>-0.494502607415112</v>
      </c>
      <c r="J77" s="34" t="n">
        <f aca="false">SQRT(SUMXMY2(B77:E77,B76:E76))</f>
        <v>3.00252594039796E-008</v>
      </c>
    </row>
    <row r="78" customFormat="false" ht="15" hidden="false" customHeight="false" outlineLevel="0" collapsed="false">
      <c r="A78" s="31" t="n">
        <v>23</v>
      </c>
      <c r="B78" s="33" t="n">
        <f aca="false">F77/SQRT(SUMSQ($F77:$I77))</f>
        <v>-0.774935770838567</v>
      </c>
      <c r="C78" s="33" t="n">
        <f aca="false">G77/SQRT(SUMSQ($F77:$I77))</f>
        <v>-0.293652489959368</v>
      </c>
      <c r="D78" s="33" t="n">
        <f aca="false">H77/SQRT(SUMSQ($F77:$I77))</f>
        <v>0.26536753127143</v>
      </c>
      <c r="E78" s="33" t="n">
        <f aca="false">I77/SQRT(SUMSQ($F77:$I77))</f>
        <v>-0.492770574976231</v>
      </c>
      <c r="F78" s="33" t="n">
        <f aca="false">SUMPRODUCT($B$47:$E$47,$B78:$E78)</f>
        <v>-0.777659584407596</v>
      </c>
      <c r="G78" s="33" t="n">
        <f aca="false">SUMPRODUCT($B$48:$E$48,$B78:$E78)</f>
        <v>-0.294684645958198</v>
      </c>
      <c r="H78" s="33" t="n">
        <f aca="false">SUMPRODUCT($B$49:$E$49,$B78:$E78)</f>
        <v>0.266300264640581</v>
      </c>
      <c r="I78" s="33" t="n">
        <f aca="false">SUMPRODUCT($B$50:$E$50,$B78:$E78)</f>
        <v>-0.494502604512225</v>
      </c>
      <c r="J78" s="34" t="n">
        <f aca="false">SQRT(SUMXMY2(B78:E78,B77:E77))</f>
        <v>1.24517037326313E-008</v>
      </c>
    </row>
    <row r="79" customFormat="false" ht="15" hidden="false" customHeight="false" outlineLevel="0" collapsed="false">
      <c r="A79" s="31" t="n">
        <v>24</v>
      </c>
      <c r="B79" s="33" t="n">
        <f aca="false">F78/SQRT(SUMSQ($F78:$I78))</f>
        <v>-0.77493577343794</v>
      </c>
      <c r="C79" s="33" t="n">
        <f aca="false">G78/SQRT(SUMSQ($F78:$I78))</f>
        <v>-0.293652490903025</v>
      </c>
      <c r="D79" s="33" t="n">
        <f aca="false">H78/SQRT(SUMSQ($F78:$I78))</f>
        <v>0.265367528008005</v>
      </c>
      <c r="E79" s="33" t="n">
        <f aca="false">I78/SQRT(SUMSQ($F78:$I78))</f>
        <v>-0.492770572083512</v>
      </c>
      <c r="F79" s="33" t="n">
        <f aca="false">SUMPRODUCT($B$47:$E$47,$B79:$E79)</f>
        <v>-0.777659585489364</v>
      </c>
      <c r="G79" s="33" t="n">
        <f aca="false">SUMPRODUCT($B$48:$E$48,$B79:$E79)</f>
        <v>-0.294684646350915</v>
      </c>
      <c r="H79" s="33" t="n">
        <f aca="false">SUMPRODUCT($B$49:$E$49,$B79:$E79)</f>
        <v>0.266300263282456</v>
      </c>
      <c r="I79" s="33" t="n">
        <f aca="false">SUMPRODUCT($B$50:$E$50,$B79:$E79)</f>
        <v>-0.494502603308376</v>
      </c>
      <c r="J79" s="34" t="n">
        <f aca="false">SQRT(SUMXMY2(B79:E79,B78:E78))</f>
        <v>5.16381637287084E-009</v>
      </c>
    </row>
    <row r="80" customFormat="false" ht="15" hidden="false" customHeight="false" outlineLevel="0" collapsed="false">
      <c r="A80" s="31" t="n">
        <v>25</v>
      </c>
      <c r="B80" s="33" t="n">
        <f aca="false">F79/SQRT(SUMSQ($F79:$I79))</f>
        <v>-0.77493577451592</v>
      </c>
      <c r="C80" s="33" t="n">
        <f aca="false">G79/SQRT(SUMSQ($F79:$I79))</f>
        <v>-0.293652491294366</v>
      </c>
      <c r="D80" s="33" t="n">
        <f aca="false">H79/SQRT(SUMSQ($F79:$I79))</f>
        <v>0.265367526654638</v>
      </c>
      <c r="E80" s="33" t="n">
        <f aca="false">I79/SQRT(SUMSQ($F79:$I79))</f>
        <v>-0.492770570883879</v>
      </c>
      <c r="F80" s="33" t="n">
        <f aca="false">SUMPRODUCT($B$47:$E$47,$B80:$E80)</f>
        <v>-0.777659585937982</v>
      </c>
      <c r="G80" s="33" t="n">
        <f aca="false">SUMPRODUCT($B$48:$E$48,$B80:$E80)</f>
        <v>-0.294684646513777</v>
      </c>
      <c r="H80" s="33" t="n">
        <f aca="false">SUMPRODUCT($B$49:$E$49,$B80:$E80)</f>
        <v>0.266300262719232</v>
      </c>
      <c r="I80" s="33" t="n">
        <f aca="false">SUMPRODUCT($B$50:$E$50,$B80:$E80)</f>
        <v>-0.49450260280913</v>
      </c>
      <c r="J80" s="34" t="n">
        <f aca="false">SQRT(SUMXMY2(B80:E80,B79:E79))</f>
        <v>2.14147394622319E-009</v>
      </c>
    </row>
    <row r="81" customFormat="false" ht="15" hidden="false" customHeight="false" outlineLevel="0" collapsed="false">
      <c r="A81" s="31" t="n">
        <v>26</v>
      </c>
      <c r="B81" s="33" t="n">
        <f aca="false">F80/SQRT(SUMSQ($F80:$I80))</f>
        <v>-0.774935774962966</v>
      </c>
      <c r="C81" s="33" t="n">
        <f aca="false">G80/SQRT(SUMSQ($F80:$I80))</f>
        <v>-0.293652491456658</v>
      </c>
      <c r="D81" s="33" t="n">
        <f aca="false">H80/SQRT(SUMSQ($F80:$I80))</f>
        <v>0.265367526093386</v>
      </c>
      <c r="E81" s="33" t="n">
        <f aca="false">I80/SQRT(SUMSQ($F80:$I80))</f>
        <v>-0.492770570386382</v>
      </c>
      <c r="F81" s="33" t="n">
        <f aca="false">SUMPRODUCT($B$47:$E$47,$B81:$E81)</f>
        <v>-0.777659586124027</v>
      </c>
      <c r="G81" s="33" t="n">
        <f aca="false">SUMPRODUCT($B$48:$E$48,$B81:$E81)</f>
        <v>-0.294684646581318</v>
      </c>
      <c r="H81" s="33" t="n">
        <f aca="false">SUMPRODUCT($B$49:$E$49,$B81:$E81)</f>
        <v>0.266300262485658</v>
      </c>
      <c r="I81" s="33" t="n">
        <f aca="false">SUMPRODUCT($B$50:$E$50,$B81:$E81)</f>
        <v>-0.494502602602089</v>
      </c>
      <c r="J81" s="34" t="n">
        <f aca="false">SQRT(SUMXMY2(B81:E81,B80:E80))</f>
        <v>8.88085513691105E-010</v>
      </c>
    </row>
    <row r="82" customFormat="false" ht="15" hidden="false" customHeight="false" outlineLevel="0" collapsed="false">
      <c r="A82" s="31" t="n">
        <v>27</v>
      </c>
      <c r="B82" s="33" t="n">
        <f aca="false">F81/SQRT(SUMSQ($F81:$I81))</f>
        <v>-0.77493577514836</v>
      </c>
      <c r="C82" s="33" t="n">
        <f aca="false">G81/SQRT(SUMSQ($F81:$I81))</f>
        <v>-0.293652491523962</v>
      </c>
      <c r="D82" s="33" t="n">
        <f aca="false">H81/SQRT(SUMSQ($F81:$I81))</f>
        <v>0.265367525860631</v>
      </c>
      <c r="E82" s="33" t="n">
        <f aca="false">I81/SQRT(SUMSQ($F81:$I81))</f>
        <v>-0.492770570180066</v>
      </c>
      <c r="F82" s="33" t="n">
        <f aca="false">SUMPRODUCT($B$47:$E$47,$B82:$E82)</f>
        <v>-0.777659586201182</v>
      </c>
      <c r="G82" s="33" t="n">
        <f aca="false">SUMPRODUCT($B$48:$E$48,$B82:$E82)</f>
        <v>-0.294684646609327</v>
      </c>
      <c r="H82" s="33" t="n">
        <f aca="false">SUMPRODUCT($B$49:$E$49,$B82:$E82)</f>
        <v>0.266300262388794</v>
      </c>
      <c r="I82" s="33" t="n">
        <f aca="false">SUMPRODUCT($B$50:$E$50,$B82:$E82)</f>
        <v>-0.494502602516228</v>
      </c>
      <c r="J82" s="34" t="n">
        <f aca="false">SQRT(SUMXMY2(B82:E82,B81:E81))</f>
        <v>3.68295829829045E-010</v>
      </c>
    </row>
    <row r="83" customFormat="false" ht="15" hidden="false" customHeight="false" outlineLevel="0" collapsed="false">
      <c r="A83" s="31" t="n">
        <v>28</v>
      </c>
      <c r="B83" s="33" t="n">
        <f aca="false">F82/SQRT(SUMSQ($F82:$I82))</f>
        <v>-0.774935775225244</v>
      </c>
      <c r="C83" s="33" t="n">
        <f aca="false">G82/SQRT(SUMSQ($F82:$I82))</f>
        <v>-0.293652491551874</v>
      </c>
      <c r="D83" s="33" t="n">
        <f aca="false">H82/SQRT(SUMSQ($F82:$I82))</f>
        <v>0.265367525764106</v>
      </c>
      <c r="E83" s="33" t="n">
        <f aca="false">I82/SQRT(SUMSQ($F82:$I82))</f>
        <v>-0.492770570094505</v>
      </c>
      <c r="F83" s="33" t="n">
        <f aca="false">SUMPRODUCT($B$47:$E$47,$B83:$E83)</f>
        <v>-0.777659586233178</v>
      </c>
      <c r="G83" s="33" t="n">
        <f aca="false">SUMPRODUCT($B$48:$E$48,$B83:$E83)</f>
        <v>-0.294684646620943</v>
      </c>
      <c r="H83" s="33" t="n">
        <f aca="false">SUMPRODUCT($B$49:$E$49,$B83:$E83)</f>
        <v>0.266300262348623</v>
      </c>
      <c r="I83" s="33" t="n">
        <f aca="false">SUMPRODUCT($B$50:$E$50,$B83:$E83)</f>
        <v>-0.49450260248062</v>
      </c>
      <c r="J83" s="34" t="n">
        <f aca="false">SQRT(SUMXMY2(B83:E83,B82:E82))</f>
        <v>1.5273510135852E-010</v>
      </c>
    </row>
    <row r="84" customFormat="false" ht="15" hidden="false" customHeight="false" outlineLevel="0" collapsed="false">
      <c r="A84" s="31" t="n">
        <v>29</v>
      </c>
      <c r="B84" s="33" t="n">
        <f aca="false">F83/SQRT(SUMSQ($F83:$I83))</f>
        <v>-0.774935775257128</v>
      </c>
      <c r="C84" s="33" t="n">
        <f aca="false">G83/SQRT(SUMSQ($F83:$I83))</f>
        <v>-0.293652491563449</v>
      </c>
      <c r="D84" s="33" t="n">
        <f aca="false">H83/SQRT(SUMSQ($F83:$I83))</f>
        <v>0.265367525724076</v>
      </c>
      <c r="E84" s="33" t="n">
        <f aca="false">I83/SQRT(SUMSQ($F83:$I83))</f>
        <v>-0.492770570059023</v>
      </c>
      <c r="F84" s="33" t="n">
        <f aca="false">SUMPRODUCT($B$47:$E$47,$B84:$E84)</f>
        <v>-0.777659586246447</v>
      </c>
      <c r="G84" s="33" t="n">
        <f aca="false">SUMPRODUCT($B$48:$E$48,$B84:$E84)</f>
        <v>-0.29468464662576</v>
      </c>
      <c r="H84" s="33" t="n">
        <f aca="false">SUMPRODUCT($B$49:$E$49,$B84:$E84)</f>
        <v>0.266300262331964</v>
      </c>
      <c r="I84" s="33" t="n">
        <f aca="false">SUMPRODUCT($B$50:$E$50,$B84:$E84)</f>
        <v>-0.494502602465854</v>
      </c>
      <c r="J84" s="34" t="n">
        <f aca="false">SQRT(SUMXMY2(B84:E84,B83:E83))</f>
        <v>6.33403473510196E-011</v>
      </c>
    </row>
    <row r="85" customFormat="false" ht="15" hidden="false" customHeight="false" outlineLevel="0" collapsed="false">
      <c r="A85" s="31" t="n">
        <v>30</v>
      </c>
      <c r="B85" s="33" t="n">
        <f aca="false">F84/SQRT(SUMSQ($F84:$I84))</f>
        <v>-0.774935775270351</v>
      </c>
      <c r="C85" s="33" t="n">
        <f aca="false">G84/SQRT(SUMSQ($F84:$I84))</f>
        <v>-0.293652491568249</v>
      </c>
      <c r="D85" s="33" t="n">
        <f aca="false">H84/SQRT(SUMSQ($F84:$I84))</f>
        <v>0.265367525707475</v>
      </c>
      <c r="E85" s="33" t="n">
        <f aca="false">I84/SQRT(SUMSQ($F84:$I84))</f>
        <v>-0.492770570044308</v>
      </c>
      <c r="F85" s="33" t="n">
        <f aca="false">SUMPRODUCT($B$47:$E$47,$B85:$E85)</f>
        <v>-0.77765958625195</v>
      </c>
      <c r="G85" s="33" t="n">
        <f aca="false">SUMPRODUCT($B$48:$E$48,$B85:$E85)</f>
        <v>-0.294684646627758</v>
      </c>
      <c r="H85" s="33" t="n">
        <f aca="false">SUMPRODUCT($B$49:$E$49,$B85:$E85)</f>
        <v>0.266300262325056</v>
      </c>
      <c r="I85" s="33" t="n">
        <f aca="false">SUMPRODUCT($B$50:$E$50,$B85:$E85)</f>
        <v>-0.49450260245973</v>
      </c>
      <c r="J85" s="34" t="n">
        <f aca="false">SQRT(SUMXMY2(B85:E85,B84:E84))</f>
        <v>2.62677953774913E-011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0" min="2" style="0" width="12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4" t="s">
        <v>138</v>
      </c>
    </row>
    <row r="4" customFormat="false" ht="15" hidden="false" customHeight="false" outlineLevel="0" collapsed="false">
      <c r="G4" s="2" t="s">
        <v>139</v>
      </c>
      <c r="K4" s="2" t="s">
        <v>140</v>
      </c>
      <c r="O4" s="2" t="s">
        <v>141</v>
      </c>
      <c r="S4" s="2" t="s">
        <v>142</v>
      </c>
      <c r="W4" s="2" t="s">
        <v>143</v>
      </c>
      <c r="AA4" s="2" t="s">
        <v>144</v>
      </c>
      <c r="AE4" s="2" t="s">
        <v>145</v>
      </c>
      <c r="AI4" s="2" t="s">
        <v>146</v>
      </c>
    </row>
    <row r="5" customFormat="false" ht="31.5" hidden="false" customHeight="true" outlineLevel="0" collapsed="false">
      <c r="A5" s="5" t="s">
        <v>51</v>
      </c>
      <c r="B5" s="5" t="s">
        <v>96</v>
      </c>
      <c r="C5" s="5" t="s">
        <v>97</v>
      </c>
      <c r="D5" s="5" t="s">
        <v>98</v>
      </c>
      <c r="E5" s="5" t="s">
        <v>99</v>
      </c>
      <c r="F5" s="5" t="s">
        <v>147</v>
      </c>
      <c r="G5" s="5" t="s">
        <v>148</v>
      </c>
      <c r="H5" s="5" t="s">
        <v>149</v>
      </c>
      <c r="I5" s="5" t="s">
        <v>150</v>
      </c>
      <c r="J5" s="5" t="s">
        <v>109</v>
      </c>
      <c r="K5" s="5" t="s">
        <v>148</v>
      </c>
      <c r="L5" s="5" t="s">
        <v>149</v>
      </c>
      <c r="M5" s="5" t="s">
        <v>150</v>
      </c>
      <c r="N5" s="5" t="s">
        <v>109</v>
      </c>
      <c r="O5" s="5" t="s">
        <v>148</v>
      </c>
      <c r="P5" s="5" t="s">
        <v>149</v>
      </c>
      <c r="Q5" s="5" t="s">
        <v>150</v>
      </c>
      <c r="R5" s="5" t="s">
        <v>109</v>
      </c>
      <c r="S5" s="5" t="s">
        <v>148</v>
      </c>
      <c r="T5" s="5" t="s">
        <v>149</v>
      </c>
      <c r="U5" s="5" t="s">
        <v>150</v>
      </c>
      <c r="V5" s="5" t="s">
        <v>109</v>
      </c>
      <c r="W5" s="5" t="s">
        <v>148</v>
      </c>
      <c r="X5" s="5" t="s">
        <v>149</v>
      </c>
      <c r="Y5" s="5" t="s">
        <v>150</v>
      </c>
      <c r="Z5" s="5" t="s">
        <v>109</v>
      </c>
      <c r="AA5" s="5" t="s">
        <v>148</v>
      </c>
      <c r="AB5" s="5" t="s">
        <v>149</v>
      </c>
      <c r="AC5" s="5" t="s">
        <v>150</v>
      </c>
      <c r="AD5" s="5" t="s">
        <v>109</v>
      </c>
      <c r="AE5" s="5" t="s">
        <v>148</v>
      </c>
      <c r="AF5" s="5" t="s">
        <v>149</v>
      </c>
      <c r="AG5" s="5" t="s">
        <v>150</v>
      </c>
      <c r="AH5" s="5" t="s">
        <v>109</v>
      </c>
      <c r="AI5" s="5" t="s">
        <v>148</v>
      </c>
      <c r="AJ5" s="5" t="s">
        <v>149</v>
      </c>
      <c r="AK5" s="5" t="s">
        <v>150</v>
      </c>
      <c r="AL5" s="5" t="s">
        <v>109</v>
      </c>
      <c r="AM5" s="5" t="s">
        <v>151</v>
      </c>
    </row>
    <row r="6" customFormat="false" ht="15" hidden="false" customHeight="false" outlineLevel="0" collapsed="false">
      <c r="A6" s="19" t="str">
        <f aca="false">Features!A6</f>
        <v>Mining</v>
      </c>
      <c r="B6" s="35" t="n">
        <f aca="false">Features!I6</f>
        <v>2.22821656278526</v>
      </c>
      <c r="C6" s="35" t="n">
        <f aca="false">Features!J6</f>
        <v>-0.723945273197262</v>
      </c>
      <c r="D6" s="35" t="n">
        <f aca="false">Features!K6</f>
        <v>-0.193926958061699</v>
      </c>
      <c r="E6" s="35" t="n">
        <f aca="false">Features!L6</f>
        <v>-0.446075806924889</v>
      </c>
      <c r="F6" s="36" t="n">
        <f aca="false">AL6</f>
        <v>1</v>
      </c>
      <c r="G6" s="37" t="n">
        <f aca="false">SQRT(SUMXMY2($B6:$E6,$B28:$E28))</f>
        <v>0</v>
      </c>
      <c r="H6" s="37" t="n">
        <f aca="false">SQRT(SUMXMY2($B6:$E6,$B29:$E29))</f>
        <v>5.74224615247908</v>
      </c>
      <c r="I6" s="37" t="n">
        <f aca="false">SQRT(SUMXMY2($B6:$E6,$B30:$E30))</f>
        <v>3.0386174071611</v>
      </c>
      <c r="J6" s="36" t="n">
        <f aca="false">MATCH(MIN(G6:I6),G6:I6,0)</f>
        <v>1</v>
      </c>
      <c r="K6" s="37" t="n">
        <f aca="false">SQRT(SUMXMY2($B6:$E6,$B33:$E33))</f>
        <v>0.962809486836999</v>
      </c>
      <c r="L6" s="37" t="n">
        <f aca="false">SQRT(SUMXMY2($B6:$E6,$B34:$E34))</f>
        <v>5.37723303657864</v>
      </c>
      <c r="M6" s="37" t="n">
        <f aca="false">SQRT(SUMXMY2($B6:$E6,$B35:$E35))</f>
        <v>2.56507934543719</v>
      </c>
      <c r="N6" s="36" t="n">
        <f aca="false">MATCH(MIN(K6:M6),K6:M6,0)</f>
        <v>1</v>
      </c>
      <c r="O6" s="37" t="n">
        <f aca="false">SQRT(SUMXMY2($B6:$E6,$B38:$E38))</f>
        <v>0.962809486836999</v>
      </c>
      <c r="P6" s="37" t="n">
        <f aca="false">SQRT(SUMXMY2($B6:$E6,$B39:$E39))</f>
        <v>5.37723303657864</v>
      </c>
      <c r="Q6" s="37" t="n">
        <f aca="false">SQRT(SUMXMY2($B6:$E6,$B40:$E40))</f>
        <v>2.56507934543719</v>
      </c>
      <c r="R6" s="36" t="n">
        <f aca="false">MATCH(MIN(O6:Q6),O6:Q6,0)</f>
        <v>1</v>
      </c>
      <c r="S6" s="37" t="n">
        <f aca="false">SQRT(SUMXMY2($B6:$E6,$B43:$E43))</f>
        <v>0.962809486836999</v>
      </c>
      <c r="T6" s="37" t="n">
        <f aca="false">SQRT(SUMXMY2($B6:$E6,$B44:$E44))</f>
        <v>5.37723303657864</v>
      </c>
      <c r="U6" s="37" t="n">
        <f aca="false">SQRT(SUMXMY2($B6:$E6,$B45:$E45))</f>
        <v>2.56507934543719</v>
      </c>
      <c r="V6" s="36" t="n">
        <f aca="false">MATCH(MIN(S6:U6),S6:U6,0)</f>
        <v>1</v>
      </c>
      <c r="W6" s="37" t="n">
        <f aca="false">SQRT(SUMXMY2($B6:$E6,$B48:$E48))</f>
        <v>0.962809486836999</v>
      </c>
      <c r="X6" s="37" t="n">
        <f aca="false">SQRT(SUMXMY2($B6:$E6,$B49:$E49))</f>
        <v>5.37723303657864</v>
      </c>
      <c r="Y6" s="37" t="n">
        <f aca="false">SQRT(SUMXMY2($B6:$E6,$B50:$E50))</f>
        <v>2.56507934543719</v>
      </c>
      <c r="Z6" s="36" t="n">
        <f aca="false">MATCH(MIN(W6:Y6),W6:Y6,0)</f>
        <v>1</v>
      </c>
      <c r="AA6" s="37" t="n">
        <f aca="false">SQRT(SUMXMY2($B6:$E6,$B53:$E53))</f>
        <v>0.962809486836999</v>
      </c>
      <c r="AB6" s="37" t="n">
        <f aca="false">SQRT(SUMXMY2($B6:$E6,$B54:$E54))</f>
        <v>5.37723303657864</v>
      </c>
      <c r="AC6" s="37" t="n">
        <f aca="false">SQRT(SUMXMY2($B6:$E6,$B55:$E55))</f>
        <v>2.56507934543719</v>
      </c>
      <c r="AD6" s="36" t="n">
        <f aca="false">MATCH(MIN(AA6:AC6),AA6:AC6,0)</f>
        <v>1</v>
      </c>
      <c r="AE6" s="37" t="n">
        <f aca="false">SQRT(SUMXMY2($B6:$E6,$B58:$E58))</f>
        <v>0.962809486836999</v>
      </c>
      <c r="AF6" s="37" t="n">
        <f aca="false">SQRT(SUMXMY2($B6:$E6,$B59:$E59))</f>
        <v>5.37723303657864</v>
      </c>
      <c r="AG6" s="37" t="n">
        <f aca="false">SQRT(SUMXMY2($B6:$E6,$B60:$E60))</f>
        <v>2.56507934543719</v>
      </c>
      <c r="AH6" s="36" t="n">
        <f aca="false">MATCH(MIN(AE6:AG6),AE6:AG6,0)</f>
        <v>1</v>
      </c>
      <c r="AI6" s="37" t="n">
        <f aca="false">SQRT(SUMXMY2($B6:$E6,$B63:$E63))</f>
        <v>0.962809486836999</v>
      </c>
      <c r="AJ6" s="37" t="n">
        <f aca="false">SQRT(SUMXMY2($B6:$E6,$B64:$E64))</f>
        <v>5.37723303657864</v>
      </c>
      <c r="AK6" s="37" t="n">
        <f aca="false">SQRT(SUMXMY2($B6:$E6,$B65:$E65))</f>
        <v>2.56507934543719</v>
      </c>
      <c r="AL6" s="36" t="n">
        <f aca="false">MATCH(MIN(AI6:AK6),AI6:AK6,0)</f>
        <v>1</v>
      </c>
      <c r="AM6" s="37" t="n">
        <f aca="false">INDEX(AI6:AK6,AL6)</f>
        <v>0.962809486836999</v>
      </c>
    </row>
    <row r="7" customFormat="false" ht="15" hidden="false" customHeight="false" outlineLevel="0" collapsed="false">
      <c r="A7" s="19" t="str">
        <f aca="false">Features!A7</f>
        <v>Energy</v>
      </c>
      <c r="B7" s="35" t="n">
        <f aca="false">Features!I7</f>
        <v>2.01623553922249</v>
      </c>
      <c r="C7" s="35" t="n">
        <f aca="false">Features!J7</f>
        <v>-0.343354182276981</v>
      </c>
      <c r="D7" s="35" t="n">
        <f aca="false">Features!K7</f>
        <v>-1.0432510568313</v>
      </c>
      <c r="E7" s="35" t="n">
        <f aca="false">Features!L7</f>
        <v>-0.253836524427268</v>
      </c>
      <c r="F7" s="36" t="n">
        <f aca="false">AL7</f>
        <v>1</v>
      </c>
      <c r="G7" s="37" t="n">
        <f aca="false">SQRT(SUMXMY2($B7:$E7,$B28:$E28))</f>
        <v>0.973700620994259</v>
      </c>
      <c r="H7" s="37" t="n">
        <f aca="false">SQRT(SUMXMY2($B7:$E7,$B29:$E29))</f>
        <v>5.75561044077871</v>
      </c>
      <c r="I7" s="37" t="n">
        <f aca="false">SQRT(SUMXMY2($B7:$E7,$B30:$E30))</f>
        <v>3.06235417495461</v>
      </c>
      <c r="J7" s="36" t="n">
        <f aca="false">MATCH(MIN(G7:I7),G7:I7,0)</f>
        <v>1</v>
      </c>
      <c r="K7" s="37" t="n">
        <f aca="false">SQRT(SUMXMY2($B7:$E7,$B33:$E33))</f>
        <v>0.588741475303577</v>
      </c>
      <c r="L7" s="37" t="n">
        <f aca="false">SQRT(SUMXMY2($B7:$E7,$B34:$E34))</f>
        <v>5.40815011613598</v>
      </c>
      <c r="M7" s="37" t="n">
        <f aca="false">SQRT(SUMXMY2($B7:$E7,$B35:$E35))</f>
        <v>2.47192358060034</v>
      </c>
      <c r="N7" s="36" t="n">
        <f aca="false">MATCH(MIN(K7:M7),K7:M7,0)</f>
        <v>1</v>
      </c>
      <c r="O7" s="37" t="n">
        <f aca="false">SQRT(SUMXMY2($B7:$E7,$B38:$E38))</f>
        <v>0.588741475303577</v>
      </c>
      <c r="P7" s="37" t="n">
        <f aca="false">SQRT(SUMXMY2($B7:$E7,$B39:$E39))</f>
        <v>5.40815011613598</v>
      </c>
      <c r="Q7" s="37" t="n">
        <f aca="false">SQRT(SUMXMY2($B7:$E7,$B40:$E40))</f>
        <v>2.47192358060034</v>
      </c>
      <c r="R7" s="36" t="n">
        <f aca="false">MATCH(MIN(O7:Q7),O7:Q7,0)</f>
        <v>1</v>
      </c>
      <c r="S7" s="37" t="n">
        <f aca="false">SQRT(SUMXMY2($B7:$E7,$B43:$E43))</f>
        <v>0.588741475303577</v>
      </c>
      <c r="T7" s="37" t="n">
        <f aca="false">SQRT(SUMXMY2($B7:$E7,$B44:$E44))</f>
        <v>5.40815011613598</v>
      </c>
      <c r="U7" s="37" t="n">
        <f aca="false">SQRT(SUMXMY2($B7:$E7,$B45:$E45))</f>
        <v>2.47192358060034</v>
      </c>
      <c r="V7" s="36" t="n">
        <f aca="false">MATCH(MIN(S7:U7),S7:U7,0)</f>
        <v>1</v>
      </c>
      <c r="W7" s="37" t="n">
        <f aca="false">SQRT(SUMXMY2($B7:$E7,$B48:$E48))</f>
        <v>0.588741475303577</v>
      </c>
      <c r="X7" s="37" t="n">
        <f aca="false">SQRT(SUMXMY2($B7:$E7,$B49:$E49))</f>
        <v>5.40815011613598</v>
      </c>
      <c r="Y7" s="37" t="n">
        <f aca="false">SQRT(SUMXMY2($B7:$E7,$B50:$E50))</f>
        <v>2.47192358060034</v>
      </c>
      <c r="Z7" s="36" t="n">
        <f aca="false">MATCH(MIN(W7:Y7),W7:Y7,0)</f>
        <v>1</v>
      </c>
      <c r="AA7" s="37" t="n">
        <f aca="false">SQRT(SUMXMY2($B7:$E7,$B53:$E53))</f>
        <v>0.588741475303577</v>
      </c>
      <c r="AB7" s="37" t="n">
        <f aca="false">SQRT(SUMXMY2($B7:$E7,$B54:$E54))</f>
        <v>5.40815011613598</v>
      </c>
      <c r="AC7" s="37" t="n">
        <f aca="false">SQRT(SUMXMY2($B7:$E7,$B55:$E55))</f>
        <v>2.47192358060034</v>
      </c>
      <c r="AD7" s="36" t="n">
        <f aca="false">MATCH(MIN(AA7:AC7),AA7:AC7,0)</f>
        <v>1</v>
      </c>
      <c r="AE7" s="37" t="n">
        <f aca="false">SQRT(SUMXMY2($B7:$E7,$B58:$E58))</f>
        <v>0.588741475303577</v>
      </c>
      <c r="AF7" s="37" t="n">
        <f aca="false">SQRT(SUMXMY2($B7:$E7,$B59:$E59))</f>
        <v>5.40815011613598</v>
      </c>
      <c r="AG7" s="37" t="n">
        <f aca="false">SQRT(SUMXMY2($B7:$E7,$B60:$E60))</f>
        <v>2.47192358060034</v>
      </c>
      <c r="AH7" s="36" t="n">
        <f aca="false">MATCH(MIN(AE7:AG7),AE7:AG7,0)</f>
        <v>1</v>
      </c>
      <c r="AI7" s="37" t="n">
        <f aca="false">SQRT(SUMXMY2($B7:$E7,$B63:$E63))</f>
        <v>0.588741475303577</v>
      </c>
      <c r="AJ7" s="37" t="n">
        <f aca="false">SQRT(SUMXMY2($B7:$E7,$B64:$E64))</f>
        <v>5.40815011613598</v>
      </c>
      <c r="AK7" s="37" t="n">
        <f aca="false">SQRT(SUMXMY2($B7:$E7,$B65:$E65))</f>
        <v>2.47192358060034</v>
      </c>
      <c r="AL7" s="36" t="n">
        <f aca="false">MATCH(MIN(AI7:AK7),AI7:AK7,0)</f>
        <v>1</v>
      </c>
      <c r="AM7" s="37" t="n">
        <f aca="false">INDEX(AI7:AK7,AL7)</f>
        <v>0.588741475303577</v>
      </c>
    </row>
    <row r="8" customFormat="false" ht="15" hidden="false" customHeight="false" outlineLevel="0" collapsed="false">
      <c r="A8" s="19" t="str">
        <f aca="false">Features!A8</f>
        <v>Social infrastructure</v>
      </c>
      <c r="B8" s="35" t="n">
        <f aca="false">Features!I8</f>
        <v>0.923459103807377</v>
      </c>
      <c r="C8" s="35" t="n">
        <f aca="false">Features!J8</f>
        <v>0.488946223085475</v>
      </c>
      <c r="D8" s="35" t="n">
        <f aca="false">Features!K8</f>
        <v>-0.647228171400712</v>
      </c>
      <c r="E8" s="35" t="n">
        <f aca="false">Features!L8</f>
        <v>0.705747367312645</v>
      </c>
      <c r="F8" s="36" t="n">
        <f aca="false">AL8</f>
        <v>1</v>
      </c>
      <c r="G8" s="37" t="n">
        <f aca="false">SQRT(SUMXMY2($B8:$E8,$B28:$E28))</f>
        <v>2.1692571132161</v>
      </c>
      <c r="H8" s="37" t="n">
        <f aca="false">SQRT(SUMXMY2($B8:$E8,$B29:$E29))</f>
        <v>4.28721109478347</v>
      </c>
      <c r="I8" s="37" t="n">
        <f aca="false">SQRT(SUMXMY2($B8:$E8,$B30:$E30))</f>
        <v>2.62369980021613</v>
      </c>
      <c r="J8" s="36" t="n">
        <f aca="false">MATCH(MIN(G8:I8),G8:I8,0)</f>
        <v>1</v>
      </c>
      <c r="K8" s="37" t="n">
        <f aca="false">SQRT(SUMXMY2($B8:$E8,$B33:$E33))</f>
        <v>1.26457279982107</v>
      </c>
      <c r="L8" s="37" t="n">
        <f aca="false">SQRT(SUMXMY2($B8:$E8,$B34:$E34))</f>
        <v>3.86151100037574</v>
      </c>
      <c r="M8" s="37" t="n">
        <f aca="false">SQRT(SUMXMY2($B8:$E8,$B35:$E35))</f>
        <v>1.88045759548412</v>
      </c>
      <c r="N8" s="36" t="n">
        <f aca="false">MATCH(MIN(K8:M8),K8:M8,0)</f>
        <v>1</v>
      </c>
      <c r="O8" s="37" t="n">
        <f aca="false">SQRT(SUMXMY2($B8:$E8,$B38:$E38))</f>
        <v>1.26457279982107</v>
      </c>
      <c r="P8" s="37" t="n">
        <f aca="false">SQRT(SUMXMY2($B8:$E8,$B39:$E39))</f>
        <v>3.86151100037574</v>
      </c>
      <c r="Q8" s="37" t="n">
        <f aca="false">SQRT(SUMXMY2($B8:$E8,$B40:$E40))</f>
        <v>1.88045759548412</v>
      </c>
      <c r="R8" s="36" t="n">
        <f aca="false">MATCH(MIN(O8:Q8),O8:Q8,0)</f>
        <v>1</v>
      </c>
      <c r="S8" s="37" t="n">
        <f aca="false">SQRT(SUMXMY2($B8:$E8,$B43:$E43))</f>
        <v>1.26457279982107</v>
      </c>
      <c r="T8" s="37" t="n">
        <f aca="false">SQRT(SUMXMY2($B8:$E8,$B44:$E44))</f>
        <v>3.86151100037574</v>
      </c>
      <c r="U8" s="37" t="n">
        <f aca="false">SQRT(SUMXMY2($B8:$E8,$B45:$E45))</f>
        <v>1.88045759548412</v>
      </c>
      <c r="V8" s="36" t="n">
        <f aca="false">MATCH(MIN(S8:U8),S8:U8,0)</f>
        <v>1</v>
      </c>
      <c r="W8" s="37" t="n">
        <f aca="false">SQRT(SUMXMY2($B8:$E8,$B48:$E48))</f>
        <v>1.26457279982107</v>
      </c>
      <c r="X8" s="37" t="n">
        <f aca="false">SQRT(SUMXMY2($B8:$E8,$B49:$E49))</f>
        <v>3.86151100037574</v>
      </c>
      <c r="Y8" s="37" t="n">
        <f aca="false">SQRT(SUMXMY2($B8:$E8,$B50:$E50))</f>
        <v>1.88045759548412</v>
      </c>
      <c r="Z8" s="36" t="n">
        <f aca="false">MATCH(MIN(W8:Y8),W8:Y8,0)</f>
        <v>1</v>
      </c>
      <c r="AA8" s="37" t="n">
        <f aca="false">SQRT(SUMXMY2($B8:$E8,$B53:$E53))</f>
        <v>1.26457279982107</v>
      </c>
      <c r="AB8" s="37" t="n">
        <f aca="false">SQRT(SUMXMY2($B8:$E8,$B54:$E54))</f>
        <v>3.86151100037574</v>
      </c>
      <c r="AC8" s="37" t="n">
        <f aca="false">SQRT(SUMXMY2($B8:$E8,$B55:$E55))</f>
        <v>1.88045759548412</v>
      </c>
      <c r="AD8" s="36" t="n">
        <f aca="false">MATCH(MIN(AA8:AC8),AA8:AC8,0)</f>
        <v>1</v>
      </c>
      <c r="AE8" s="37" t="n">
        <f aca="false">SQRT(SUMXMY2($B8:$E8,$B58:$E58))</f>
        <v>1.26457279982107</v>
      </c>
      <c r="AF8" s="37" t="n">
        <f aca="false">SQRT(SUMXMY2($B8:$E8,$B59:$E59))</f>
        <v>3.86151100037574</v>
      </c>
      <c r="AG8" s="37" t="n">
        <f aca="false">SQRT(SUMXMY2($B8:$E8,$B60:$E60))</f>
        <v>1.88045759548412</v>
      </c>
      <c r="AH8" s="36" t="n">
        <f aca="false">MATCH(MIN(AE8:AG8),AE8:AG8,0)</f>
        <v>1</v>
      </c>
      <c r="AI8" s="37" t="n">
        <f aca="false">SQRT(SUMXMY2($B8:$E8,$B63:$E63))</f>
        <v>1.26457279982107</v>
      </c>
      <c r="AJ8" s="37" t="n">
        <f aca="false">SQRT(SUMXMY2($B8:$E8,$B64:$E64))</f>
        <v>3.86151100037574</v>
      </c>
      <c r="AK8" s="37" t="n">
        <f aca="false">SQRT(SUMXMY2($B8:$E8,$B65:$E65))</f>
        <v>1.88045759548412</v>
      </c>
      <c r="AL8" s="36" t="n">
        <f aca="false">MATCH(MIN(AI8:AK8),AI8:AK8,0)</f>
        <v>1</v>
      </c>
      <c r="AM8" s="37" t="n">
        <f aca="false">INDEX(AI8:AK8,AL8)</f>
        <v>1.26457279982107</v>
      </c>
    </row>
    <row r="9" customFormat="false" ht="15" hidden="false" customHeight="false" outlineLevel="0" collapsed="false">
      <c r="A9" s="19" t="str">
        <f aca="false">Features!A9</f>
        <v>Nuclear</v>
      </c>
      <c r="B9" s="35" t="n">
        <f aca="false">Features!I9</f>
        <v>-0.324953910749598</v>
      </c>
      <c r="C9" s="35" t="n">
        <f aca="false">Features!J9</f>
        <v>3.12328567815359</v>
      </c>
      <c r="D9" s="35" t="n">
        <f aca="false">Features!K9</f>
        <v>2.24113764879651</v>
      </c>
      <c r="E9" s="35" t="n">
        <f aca="false">Features!L9</f>
        <v>1.94640946494725</v>
      </c>
      <c r="F9" s="36" t="n">
        <f aca="false">AL9</f>
        <v>2</v>
      </c>
      <c r="G9" s="37" t="n">
        <f aca="false">SQRT(SUMXMY2($B9:$E9,$B28:$E28))</f>
        <v>5.74224615247908</v>
      </c>
      <c r="H9" s="37" t="n">
        <f aca="false">SQRT(SUMXMY2($B9:$E9,$B29:$E29))</f>
        <v>0</v>
      </c>
      <c r="I9" s="37" t="n">
        <f aca="false">SQRT(SUMXMY2($B9:$E9,$B30:$E30))</f>
        <v>5.04579206401283</v>
      </c>
      <c r="J9" s="36" t="n">
        <f aca="false">MATCH(MIN(G9:I9),G9:I9,0)</f>
        <v>2</v>
      </c>
      <c r="K9" s="37" t="n">
        <f aca="false">SQRT(SUMXMY2($B9:$E9,$B33:$E33))</f>
        <v>5.21561304783253</v>
      </c>
      <c r="L9" s="37" t="n">
        <f aca="false">SQRT(SUMXMY2($B9:$E9,$B34:$E34))</f>
        <v>1.25178522455874</v>
      </c>
      <c r="M9" s="37" t="n">
        <f aca="false">SQRT(SUMXMY2($B9:$E9,$B35:$E35))</f>
        <v>4.81835226860358</v>
      </c>
      <c r="N9" s="36" t="n">
        <f aca="false">MATCH(MIN(K9:M9),K9:M9,0)</f>
        <v>2</v>
      </c>
      <c r="O9" s="37" t="n">
        <f aca="false">SQRT(SUMXMY2($B9:$E9,$B38:$E38))</f>
        <v>5.21561304783253</v>
      </c>
      <c r="P9" s="37" t="n">
        <f aca="false">SQRT(SUMXMY2($B9:$E9,$B39:$E39))</f>
        <v>1.25178522455874</v>
      </c>
      <c r="Q9" s="37" t="n">
        <f aca="false">SQRT(SUMXMY2($B9:$E9,$B40:$E40))</f>
        <v>4.81835226860358</v>
      </c>
      <c r="R9" s="36" t="n">
        <f aca="false">MATCH(MIN(O9:Q9),O9:Q9,0)</f>
        <v>2</v>
      </c>
      <c r="S9" s="37" t="n">
        <f aca="false">SQRT(SUMXMY2($B9:$E9,$B43:$E43))</f>
        <v>5.21561304783253</v>
      </c>
      <c r="T9" s="37" t="n">
        <f aca="false">SQRT(SUMXMY2($B9:$E9,$B44:$E44))</f>
        <v>1.25178522455874</v>
      </c>
      <c r="U9" s="37" t="n">
        <f aca="false">SQRT(SUMXMY2($B9:$E9,$B45:$E45))</f>
        <v>4.81835226860358</v>
      </c>
      <c r="V9" s="36" t="n">
        <f aca="false">MATCH(MIN(S9:U9),S9:U9,0)</f>
        <v>2</v>
      </c>
      <c r="W9" s="37" t="n">
        <f aca="false">SQRT(SUMXMY2($B9:$E9,$B48:$E48))</f>
        <v>5.21561304783253</v>
      </c>
      <c r="X9" s="37" t="n">
        <f aca="false">SQRT(SUMXMY2($B9:$E9,$B49:$E49))</f>
        <v>1.25178522455874</v>
      </c>
      <c r="Y9" s="37" t="n">
        <f aca="false">SQRT(SUMXMY2($B9:$E9,$B50:$E50))</f>
        <v>4.81835226860358</v>
      </c>
      <c r="Z9" s="36" t="n">
        <f aca="false">MATCH(MIN(W9:Y9),W9:Y9,0)</f>
        <v>2</v>
      </c>
      <c r="AA9" s="37" t="n">
        <f aca="false">SQRT(SUMXMY2($B9:$E9,$B53:$E53))</f>
        <v>5.21561304783253</v>
      </c>
      <c r="AB9" s="37" t="n">
        <f aca="false">SQRT(SUMXMY2($B9:$E9,$B54:$E54))</f>
        <v>1.25178522455874</v>
      </c>
      <c r="AC9" s="37" t="n">
        <f aca="false">SQRT(SUMXMY2($B9:$E9,$B55:$E55))</f>
        <v>4.81835226860358</v>
      </c>
      <c r="AD9" s="36" t="n">
        <f aca="false">MATCH(MIN(AA9:AC9),AA9:AC9,0)</f>
        <v>2</v>
      </c>
      <c r="AE9" s="37" t="n">
        <f aca="false">SQRT(SUMXMY2($B9:$E9,$B58:$E58))</f>
        <v>5.21561304783253</v>
      </c>
      <c r="AF9" s="37" t="n">
        <f aca="false">SQRT(SUMXMY2($B9:$E9,$B59:$E59))</f>
        <v>1.25178522455874</v>
      </c>
      <c r="AG9" s="37" t="n">
        <f aca="false">SQRT(SUMXMY2($B9:$E9,$B60:$E60))</f>
        <v>4.81835226860358</v>
      </c>
      <c r="AH9" s="36" t="n">
        <f aca="false">MATCH(MIN(AE9:AG9),AE9:AG9,0)</f>
        <v>2</v>
      </c>
      <c r="AI9" s="37" t="n">
        <f aca="false">SQRT(SUMXMY2($B9:$E9,$B63:$E63))</f>
        <v>5.21561304783253</v>
      </c>
      <c r="AJ9" s="37" t="n">
        <f aca="false">SQRT(SUMXMY2($B9:$E9,$B64:$E64))</f>
        <v>1.25178522455874</v>
      </c>
      <c r="AK9" s="37" t="n">
        <f aca="false">SQRT(SUMXMY2($B9:$E9,$B65:$E65))</f>
        <v>4.81835226860358</v>
      </c>
      <c r="AL9" s="36" t="n">
        <f aca="false">MATCH(MIN(AI9:AK9),AI9:AK9,0)</f>
        <v>2</v>
      </c>
      <c r="AM9" s="37" t="n">
        <f aca="false">INDEX(AI9:AK9,AL9)</f>
        <v>1.25178522455874</v>
      </c>
    </row>
    <row r="10" customFormat="false" ht="15" hidden="false" customHeight="false" outlineLevel="0" collapsed="false">
      <c r="A10" s="19" t="str">
        <f aca="false">Features!A10</f>
        <v>Defence</v>
      </c>
      <c r="B10" s="35" t="n">
        <f aca="false">Features!I10</f>
        <v>-0.135497293525323</v>
      </c>
      <c r="C10" s="35" t="n">
        <f aca="false">Features!J10</f>
        <v>0.424126514096418</v>
      </c>
      <c r="D10" s="35" t="n">
        <f aca="false">Features!K10</f>
        <v>-0.771068319313549</v>
      </c>
      <c r="E10" s="35" t="n">
        <f aca="false">Features!L10</f>
        <v>0.640778628410201</v>
      </c>
      <c r="F10" s="36" t="n">
        <f aca="false">AL10</f>
        <v>3</v>
      </c>
      <c r="G10" s="37" t="n">
        <f aca="false">SQRT(SUMXMY2($B10:$E10,$B28:$E28))</f>
        <v>2.90164724557785</v>
      </c>
      <c r="H10" s="37" t="n">
        <f aca="false">SQRT(SUMXMY2($B10:$E10,$B29:$E29))</f>
        <v>4.25434021657391</v>
      </c>
      <c r="I10" s="37" t="n">
        <f aca="false">SQRT(SUMXMY2($B10:$E10,$B30:$E30))</f>
        <v>2.09723727451295</v>
      </c>
      <c r="J10" s="36" t="n">
        <f aca="false">MATCH(MIN(G10:I10),G10:I10,0)</f>
        <v>3</v>
      </c>
      <c r="K10" s="37" t="n">
        <f aca="false">SQRT(SUMXMY2($B10:$E10,$B33:$E33))</f>
        <v>2.06440805248954</v>
      </c>
      <c r="L10" s="37" t="n">
        <f aca="false">SQRT(SUMXMY2($B10:$E10,$B34:$E34))</f>
        <v>3.63503458271106</v>
      </c>
      <c r="M10" s="37" t="n">
        <f aca="false">SQRT(SUMXMY2($B10:$E10,$B35:$E35))</f>
        <v>1.39537950473021</v>
      </c>
      <c r="N10" s="36" t="n">
        <f aca="false">MATCH(MIN(K10:M10),K10:M10,0)</f>
        <v>3</v>
      </c>
      <c r="O10" s="37" t="n">
        <f aca="false">SQRT(SUMXMY2($B10:$E10,$B38:$E38))</f>
        <v>2.06440805248954</v>
      </c>
      <c r="P10" s="37" t="n">
        <f aca="false">SQRT(SUMXMY2($B10:$E10,$B39:$E39))</f>
        <v>3.63503458271106</v>
      </c>
      <c r="Q10" s="37" t="n">
        <f aca="false">SQRT(SUMXMY2($B10:$E10,$B40:$E40))</f>
        <v>1.39537950473021</v>
      </c>
      <c r="R10" s="36" t="n">
        <f aca="false">MATCH(MIN(O10:Q10),O10:Q10,0)</f>
        <v>3</v>
      </c>
      <c r="S10" s="37" t="n">
        <f aca="false">SQRT(SUMXMY2($B10:$E10,$B43:$E43))</f>
        <v>2.06440805248954</v>
      </c>
      <c r="T10" s="37" t="n">
        <f aca="false">SQRT(SUMXMY2($B10:$E10,$B44:$E44))</f>
        <v>3.63503458271106</v>
      </c>
      <c r="U10" s="37" t="n">
        <f aca="false">SQRT(SUMXMY2($B10:$E10,$B45:$E45))</f>
        <v>1.39537950473021</v>
      </c>
      <c r="V10" s="36" t="n">
        <f aca="false">MATCH(MIN(S10:U10),S10:U10,0)</f>
        <v>3</v>
      </c>
      <c r="W10" s="37" t="n">
        <f aca="false">SQRT(SUMXMY2($B10:$E10,$B48:$E48))</f>
        <v>2.06440805248954</v>
      </c>
      <c r="X10" s="37" t="n">
        <f aca="false">SQRT(SUMXMY2($B10:$E10,$B49:$E49))</f>
        <v>3.63503458271106</v>
      </c>
      <c r="Y10" s="37" t="n">
        <f aca="false">SQRT(SUMXMY2($B10:$E10,$B50:$E50))</f>
        <v>1.39537950473021</v>
      </c>
      <c r="Z10" s="36" t="n">
        <f aca="false">MATCH(MIN(W10:Y10),W10:Y10,0)</f>
        <v>3</v>
      </c>
      <c r="AA10" s="37" t="n">
        <f aca="false">SQRT(SUMXMY2($B10:$E10,$B53:$E53))</f>
        <v>2.06440805248954</v>
      </c>
      <c r="AB10" s="37" t="n">
        <f aca="false">SQRT(SUMXMY2($B10:$E10,$B54:$E54))</f>
        <v>3.63503458271106</v>
      </c>
      <c r="AC10" s="37" t="n">
        <f aca="false">SQRT(SUMXMY2($B10:$E10,$B55:$E55))</f>
        <v>1.39537950473021</v>
      </c>
      <c r="AD10" s="36" t="n">
        <f aca="false">MATCH(MIN(AA10:AC10),AA10:AC10,0)</f>
        <v>3</v>
      </c>
      <c r="AE10" s="37" t="n">
        <f aca="false">SQRT(SUMXMY2($B10:$E10,$B58:$E58))</f>
        <v>2.06440805248954</v>
      </c>
      <c r="AF10" s="37" t="n">
        <f aca="false">SQRT(SUMXMY2($B10:$E10,$B59:$E59))</f>
        <v>3.63503458271106</v>
      </c>
      <c r="AG10" s="37" t="n">
        <f aca="false">SQRT(SUMXMY2($B10:$E10,$B60:$E60))</f>
        <v>1.39537950473021</v>
      </c>
      <c r="AH10" s="36" t="n">
        <f aca="false">MATCH(MIN(AE10:AG10),AE10:AG10,0)</f>
        <v>3</v>
      </c>
      <c r="AI10" s="37" t="n">
        <f aca="false">SQRT(SUMXMY2($B10:$E10,$B63:$E63))</f>
        <v>2.06440805248954</v>
      </c>
      <c r="AJ10" s="37" t="n">
        <f aca="false">SQRT(SUMXMY2($B10:$E10,$B64:$E64))</f>
        <v>3.63503458271106</v>
      </c>
      <c r="AK10" s="37" t="n">
        <f aca="false">SQRT(SUMXMY2($B10:$E10,$B65:$E65))</f>
        <v>1.39537950473021</v>
      </c>
      <c r="AL10" s="36" t="n">
        <f aca="false">MATCH(MIN(AI10:AK10),AI10:AK10,0)</f>
        <v>3</v>
      </c>
      <c r="AM10" s="37" t="n">
        <f aca="false">INDEX(AI10:AK10,AL10)</f>
        <v>1.39537950473021</v>
      </c>
    </row>
    <row r="11" customFormat="false" ht="15" hidden="false" customHeight="false" outlineLevel="0" collapsed="false">
      <c r="A11" s="19" t="str">
        <f aca="false">Features!A11</f>
        <v>Agriculture</v>
      </c>
      <c r="B11" s="35" t="n">
        <f aca="false">Features!I11</f>
        <v>-0.091471900482741</v>
      </c>
      <c r="C11" s="35" t="n">
        <f aca="false">Features!J11</f>
        <v>-0.479609813154867</v>
      </c>
      <c r="D11" s="35" t="n">
        <f aca="false">Features!K11</f>
        <v>-0.0185073908929229</v>
      </c>
      <c r="E11" s="35" t="n">
        <f aca="false">Features!L11</f>
        <v>0.480298225463493</v>
      </c>
      <c r="F11" s="36" t="n">
        <f aca="false">AL11</f>
        <v>3</v>
      </c>
      <c r="G11" s="37" t="n">
        <f aca="false">SQRT(SUMXMY2($B11:$E11,$B28:$E28))</f>
        <v>2.51586868816359</v>
      </c>
      <c r="H11" s="37" t="n">
        <f aca="false">SQRT(SUMXMY2($B11:$E11,$B29:$E29))</f>
        <v>4.50453634043979</v>
      </c>
      <c r="I11" s="37" t="n">
        <f aca="false">SQRT(SUMXMY2($B11:$E11,$B30:$E30))</f>
        <v>1.61090022828402</v>
      </c>
      <c r="J11" s="36" t="n">
        <f aca="false">MATCH(MIN(G11:I11),G11:I11,0)</f>
        <v>3</v>
      </c>
      <c r="K11" s="37" t="n">
        <f aca="false">SQRT(SUMXMY2($B11:$E11,$B33:$E33))</f>
        <v>1.99342124597982</v>
      </c>
      <c r="L11" s="37" t="n">
        <f aca="false">SQRT(SUMXMY2($B11:$E11,$B34:$E34))</f>
        <v>3.72182086651195</v>
      </c>
      <c r="M11" s="37" t="n">
        <f aca="false">SQRT(SUMXMY2($B11:$E11,$B35:$E35))</f>
        <v>0.917590473471062</v>
      </c>
      <c r="N11" s="36" t="n">
        <f aca="false">MATCH(MIN(K11:M11),K11:M11,0)</f>
        <v>3</v>
      </c>
      <c r="O11" s="37" t="n">
        <f aca="false">SQRT(SUMXMY2($B11:$E11,$B38:$E38))</f>
        <v>1.99342124597982</v>
      </c>
      <c r="P11" s="37" t="n">
        <f aca="false">SQRT(SUMXMY2($B11:$E11,$B39:$E39))</f>
        <v>3.72182086651195</v>
      </c>
      <c r="Q11" s="37" t="n">
        <f aca="false">SQRT(SUMXMY2($B11:$E11,$B40:$E40))</f>
        <v>0.917590473471062</v>
      </c>
      <c r="R11" s="36" t="n">
        <f aca="false">MATCH(MIN(O11:Q11),O11:Q11,0)</f>
        <v>3</v>
      </c>
      <c r="S11" s="37" t="n">
        <f aca="false">SQRT(SUMXMY2($B11:$E11,$B43:$E43))</f>
        <v>1.99342124597982</v>
      </c>
      <c r="T11" s="37" t="n">
        <f aca="false">SQRT(SUMXMY2($B11:$E11,$B44:$E44))</f>
        <v>3.72182086651195</v>
      </c>
      <c r="U11" s="37" t="n">
        <f aca="false">SQRT(SUMXMY2($B11:$E11,$B45:$E45))</f>
        <v>0.917590473471062</v>
      </c>
      <c r="V11" s="36" t="n">
        <f aca="false">MATCH(MIN(S11:U11),S11:U11,0)</f>
        <v>3</v>
      </c>
      <c r="W11" s="37" t="n">
        <f aca="false">SQRT(SUMXMY2($B11:$E11,$B48:$E48))</f>
        <v>1.99342124597982</v>
      </c>
      <c r="X11" s="37" t="n">
        <f aca="false">SQRT(SUMXMY2($B11:$E11,$B49:$E49))</f>
        <v>3.72182086651195</v>
      </c>
      <c r="Y11" s="37" t="n">
        <f aca="false">SQRT(SUMXMY2($B11:$E11,$B50:$E50))</f>
        <v>0.917590473471062</v>
      </c>
      <c r="Z11" s="36" t="n">
        <f aca="false">MATCH(MIN(W11:Y11),W11:Y11,0)</f>
        <v>3</v>
      </c>
      <c r="AA11" s="37" t="n">
        <f aca="false">SQRT(SUMXMY2($B11:$E11,$B53:$E53))</f>
        <v>1.99342124597982</v>
      </c>
      <c r="AB11" s="37" t="n">
        <f aca="false">SQRT(SUMXMY2($B11:$E11,$B54:$E54))</f>
        <v>3.72182086651195</v>
      </c>
      <c r="AC11" s="37" t="n">
        <f aca="false">SQRT(SUMXMY2($B11:$E11,$B55:$E55))</f>
        <v>0.917590473471062</v>
      </c>
      <c r="AD11" s="36" t="n">
        <f aca="false">MATCH(MIN(AA11:AC11),AA11:AC11,0)</f>
        <v>3</v>
      </c>
      <c r="AE11" s="37" t="n">
        <f aca="false">SQRT(SUMXMY2($B11:$E11,$B58:$E58))</f>
        <v>1.99342124597982</v>
      </c>
      <c r="AF11" s="37" t="n">
        <f aca="false">SQRT(SUMXMY2($B11:$E11,$B59:$E59))</f>
        <v>3.72182086651195</v>
      </c>
      <c r="AG11" s="37" t="n">
        <f aca="false">SQRT(SUMXMY2($B11:$E11,$B60:$E60))</f>
        <v>0.917590473471062</v>
      </c>
      <c r="AH11" s="36" t="n">
        <f aca="false">MATCH(MIN(AE11:AG11),AE11:AG11,0)</f>
        <v>3</v>
      </c>
      <c r="AI11" s="37" t="n">
        <f aca="false">SQRT(SUMXMY2($B11:$E11,$B63:$E63))</f>
        <v>1.99342124597982</v>
      </c>
      <c r="AJ11" s="37" t="n">
        <f aca="false">SQRT(SUMXMY2($B11:$E11,$B64:$E64))</f>
        <v>3.72182086651195</v>
      </c>
      <c r="AK11" s="37" t="n">
        <f aca="false">SQRT(SUMXMY2($B11:$E11,$B65:$E65))</f>
        <v>0.917590473471062</v>
      </c>
      <c r="AL11" s="36" t="n">
        <f aca="false">MATCH(MIN(AI11:AK11),AI11:AK11,0)</f>
        <v>3</v>
      </c>
      <c r="AM11" s="37" t="n">
        <f aca="false">INDEX(AI11:AK11,AL11)</f>
        <v>0.917590473471062</v>
      </c>
    </row>
    <row r="12" customFormat="false" ht="15" hidden="false" customHeight="false" outlineLevel="0" collapsed="false">
      <c r="A12" s="19" t="str">
        <f aca="false">Features!A12</f>
        <v>Manufacturing</v>
      </c>
      <c r="B12" s="35" t="n">
        <f aca="false">Features!I12</f>
        <v>-0.180780723731533</v>
      </c>
      <c r="C12" s="35" t="n">
        <f aca="false">Features!J12</f>
        <v>-0.100040555709327</v>
      </c>
      <c r="D12" s="35" t="n">
        <f aca="false">Features!K12</f>
        <v>-1.41411623318766</v>
      </c>
      <c r="E12" s="35" t="n">
        <f aca="false">Features!L12</f>
        <v>0.19500632935854</v>
      </c>
      <c r="F12" s="36" t="n">
        <f aca="false">AL12</f>
        <v>3</v>
      </c>
      <c r="G12" s="37" t="n">
        <f aca="false">SQRT(SUMXMY2($B12:$E12,$B28:$E28))</f>
        <v>2.84470968563456</v>
      </c>
      <c r="H12" s="37" t="n">
        <f aca="false">SQRT(SUMXMY2($B12:$E12,$B29:$E29))</f>
        <v>5.18062851427065</v>
      </c>
      <c r="I12" s="37" t="n">
        <f aca="false">SQRT(SUMXMY2($B12:$E12,$B30:$E30))</f>
        <v>2.02254024578531</v>
      </c>
      <c r="J12" s="36" t="n">
        <f aca="false">MATCH(MIN(G12:I12),G12:I12,0)</f>
        <v>3</v>
      </c>
      <c r="K12" s="37" t="n">
        <f aca="false">SQRT(SUMXMY2($B12:$E12,$B33:$E33))</f>
        <v>2.07042006955724</v>
      </c>
      <c r="L12" s="37" t="n">
        <f aca="false">SQRT(SUMXMY2($B12:$E12,$B34:$E34))</f>
        <v>4.54223767332581</v>
      </c>
      <c r="M12" s="37" t="n">
        <f aca="false">SQRT(SUMXMY2($B12:$E12,$B35:$E35))</f>
        <v>1.36646002901223</v>
      </c>
      <c r="N12" s="36" t="n">
        <f aca="false">MATCH(MIN(K12:M12),K12:M12,0)</f>
        <v>3</v>
      </c>
      <c r="O12" s="37" t="n">
        <f aca="false">SQRT(SUMXMY2($B12:$E12,$B38:$E38))</f>
        <v>2.07042006955724</v>
      </c>
      <c r="P12" s="37" t="n">
        <f aca="false">SQRT(SUMXMY2($B12:$E12,$B39:$E39))</f>
        <v>4.54223767332581</v>
      </c>
      <c r="Q12" s="37" t="n">
        <f aca="false">SQRT(SUMXMY2($B12:$E12,$B40:$E40))</f>
        <v>1.36646002901223</v>
      </c>
      <c r="R12" s="36" t="n">
        <f aca="false">MATCH(MIN(O12:Q12),O12:Q12,0)</f>
        <v>3</v>
      </c>
      <c r="S12" s="37" t="n">
        <f aca="false">SQRT(SUMXMY2($B12:$E12,$B43:$E43))</f>
        <v>2.07042006955724</v>
      </c>
      <c r="T12" s="37" t="n">
        <f aca="false">SQRT(SUMXMY2($B12:$E12,$B44:$E44))</f>
        <v>4.54223767332581</v>
      </c>
      <c r="U12" s="37" t="n">
        <f aca="false">SQRT(SUMXMY2($B12:$E12,$B45:$E45))</f>
        <v>1.36646002901223</v>
      </c>
      <c r="V12" s="36" t="n">
        <f aca="false">MATCH(MIN(S12:U12),S12:U12,0)</f>
        <v>3</v>
      </c>
      <c r="W12" s="37" t="n">
        <f aca="false">SQRT(SUMXMY2($B12:$E12,$B48:$E48))</f>
        <v>2.07042006955724</v>
      </c>
      <c r="X12" s="37" t="n">
        <f aca="false">SQRT(SUMXMY2($B12:$E12,$B49:$E49))</f>
        <v>4.54223767332581</v>
      </c>
      <c r="Y12" s="37" t="n">
        <f aca="false">SQRT(SUMXMY2($B12:$E12,$B50:$E50))</f>
        <v>1.36646002901223</v>
      </c>
      <c r="Z12" s="36" t="n">
        <f aca="false">MATCH(MIN(W12:Y12),W12:Y12,0)</f>
        <v>3</v>
      </c>
      <c r="AA12" s="37" t="n">
        <f aca="false">SQRT(SUMXMY2($B12:$E12,$B53:$E53))</f>
        <v>2.07042006955724</v>
      </c>
      <c r="AB12" s="37" t="n">
        <f aca="false">SQRT(SUMXMY2($B12:$E12,$B54:$E54))</f>
        <v>4.54223767332581</v>
      </c>
      <c r="AC12" s="37" t="n">
        <f aca="false">SQRT(SUMXMY2($B12:$E12,$B55:$E55))</f>
        <v>1.36646002901223</v>
      </c>
      <c r="AD12" s="36" t="n">
        <f aca="false">MATCH(MIN(AA12:AC12),AA12:AC12,0)</f>
        <v>3</v>
      </c>
      <c r="AE12" s="37" t="n">
        <f aca="false">SQRT(SUMXMY2($B12:$E12,$B58:$E58))</f>
        <v>2.07042006955724</v>
      </c>
      <c r="AF12" s="37" t="n">
        <f aca="false">SQRT(SUMXMY2($B12:$E12,$B59:$E59))</f>
        <v>4.54223767332581</v>
      </c>
      <c r="AG12" s="37" t="n">
        <f aca="false">SQRT(SUMXMY2($B12:$E12,$B60:$E60))</f>
        <v>1.36646002901223</v>
      </c>
      <c r="AH12" s="36" t="n">
        <f aca="false">MATCH(MIN(AE12:AG12),AE12:AG12,0)</f>
        <v>3</v>
      </c>
      <c r="AI12" s="37" t="n">
        <f aca="false">SQRT(SUMXMY2($B12:$E12,$B63:$E63))</f>
        <v>2.07042006955724</v>
      </c>
      <c r="AJ12" s="37" t="n">
        <f aca="false">SQRT(SUMXMY2($B12:$E12,$B64:$E64))</f>
        <v>4.54223767332581</v>
      </c>
      <c r="AK12" s="37" t="n">
        <f aca="false">SQRT(SUMXMY2($B12:$E12,$B65:$E65))</f>
        <v>1.36646002901223</v>
      </c>
      <c r="AL12" s="36" t="n">
        <f aca="false">MATCH(MIN(AI12:AK12),AI12:AK12,0)</f>
        <v>3</v>
      </c>
      <c r="AM12" s="37" t="n">
        <f aca="false">INDEX(AI12:AK12,AL12)</f>
        <v>1.36646002901223</v>
      </c>
    </row>
    <row r="13" customFormat="false" ht="15" hidden="false" customHeight="false" outlineLevel="0" collapsed="false">
      <c r="A13" s="19" t="str">
        <f aca="false">Features!A13</f>
        <v>Financial services</v>
      </c>
      <c r="B13" s="35" t="n">
        <f aca="false">Features!I13</f>
        <v>0.0337099000922409</v>
      </c>
      <c r="C13" s="35" t="n">
        <f aca="false">Features!J13</f>
        <v>-0.588058172425021</v>
      </c>
      <c r="D13" s="35" t="n">
        <f aca="false">Features!K13</f>
        <v>-0.533417379821774</v>
      </c>
      <c r="E13" s="35" t="n">
        <f aca="false">Features!L13</f>
        <v>-0.355617525990994</v>
      </c>
      <c r="F13" s="36" t="n">
        <f aca="false">AL13</f>
        <v>3</v>
      </c>
      <c r="G13" s="37" t="n">
        <f aca="false">SQRT(SUMXMY2($B13:$E13,$B28:$E28))</f>
        <v>2.22660307280321</v>
      </c>
      <c r="H13" s="37" t="n">
        <f aca="false">SQRT(SUMXMY2($B13:$E13,$B29:$E29))</f>
        <v>5.18653996227489</v>
      </c>
      <c r="I13" s="37" t="n">
        <f aca="false">SQRT(SUMXMY2($B13:$E13,$B30:$E30))</f>
        <v>1.20114178266415</v>
      </c>
      <c r="J13" s="36" t="n">
        <f aca="false">MATCH(MIN(G13:I13),G13:I13,0)</f>
        <v>3</v>
      </c>
      <c r="K13" s="37" t="n">
        <f aca="false">SQRT(SUMXMY2($B13:$E13,$B33:$E33))</f>
        <v>1.77356668840474</v>
      </c>
      <c r="L13" s="37" t="n">
        <f aca="false">SQRT(SUMXMY2($B13:$E13,$B34:$E34))</f>
        <v>4.51595656736361</v>
      </c>
      <c r="M13" s="37" t="n">
        <f aca="false">SQRT(SUMXMY2($B13:$E13,$B35:$E35))</f>
        <v>0.545963605615117</v>
      </c>
      <c r="N13" s="36" t="n">
        <f aca="false">MATCH(MIN(K13:M13),K13:M13,0)</f>
        <v>3</v>
      </c>
      <c r="O13" s="37" t="n">
        <f aca="false">SQRT(SUMXMY2($B13:$E13,$B38:$E38))</f>
        <v>1.77356668840474</v>
      </c>
      <c r="P13" s="37" t="n">
        <f aca="false">SQRT(SUMXMY2($B13:$E13,$B39:$E39))</f>
        <v>4.51595656736361</v>
      </c>
      <c r="Q13" s="37" t="n">
        <f aca="false">SQRT(SUMXMY2($B13:$E13,$B40:$E40))</f>
        <v>0.545963605615117</v>
      </c>
      <c r="R13" s="36" t="n">
        <f aca="false">MATCH(MIN(O13:Q13),O13:Q13,0)</f>
        <v>3</v>
      </c>
      <c r="S13" s="37" t="n">
        <f aca="false">SQRT(SUMXMY2($B13:$E13,$B43:$E43))</f>
        <v>1.77356668840474</v>
      </c>
      <c r="T13" s="37" t="n">
        <f aca="false">SQRT(SUMXMY2($B13:$E13,$B44:$E44))</f>
        <v>4.51595656736361</v>
      </c>
      <c r="U13" s="37" t="n">
        <f aca="false">SQRT(SUMXMY2($B13:$E13,$B45:$E45))</f>
        <v>0.545963605615117</v>
      </c>
      <c r="V13" s="36" t="n">
        <f aca="false">MATCH(MIN(S13:U13),S13:U13,0)</f>
        <v>3</v>
      </c>
      <c r="W13" s="37" t="n">
        <f aca="false">SQRT(SUMXMY2($B13:$E13,$B48:$E48))</f>
        <v>1.77356668840474</v>
      </c>
      <c r="X13" s="37" t="n">
        <f aca="false">SQRT(SUMXMY2($B13:$E13,$B49:$E49))</f>
        <v>4.51595656736361</v>
      </c>
      <c r="Y13" s="37" t="n">
        <f aca="false">SQRT(SUMXMY2($B13:$E13,$B50:$E50))</f>
        <v>0.545963605615117</v>
      </c>
      <c r="Z13" s="36" t="n">
        <f aca="false">MATCH(MIN(W13:Y13),W13:Y13,0)</f>
        <v>3</v>
      </c>
      <c r="AA13" s="37" t="n">
        <f aca="false">SQRT(SUMXMY2($B13:$E13,$B53:$E53))</f>
        <v>1.77356668840474</v>
      </c>
      <c r="AB13" s="37" t="n">
        <f aca="false">SQRT(SUMXMY2($B13:$E13,$B54:$E54))</f>
        <v>4.51595656736361</v>
      </c>
      <c r="AC13" s="37" t="n">
        <f aca="false">SQRT(SUMXMY2($B13:$E13,$B55:$E55))</f>
        <v>0.545963605615117</v>
      </c>
      <c r="AD13" s="36" t="n">
        <f aca="false">MATCH(MIN(AA13:AC13),AA13:AC13,0)</f>
        <v>3</v>
      </c>
      <c r="AE13" s="37" t="n">
        <f aca="false">SQRT(SUMXMY2($B13:$E13,$B58:$E58))</f>
        <v>1.77356668840474</v>
      </c>
      <c r="AF13" s="37" t="n">
        <f aca="false">SQRT(SUMXMY2($B13:$E13,$B59:$E59))</f>
        <v>4.51595656736361</v>
      </c>
      <c r="AG13" s="37" t="n">
        <f aca="false">SQRT(SUMXMY2($B13:$E13,$B60:$E60))</f>
        <v>0.545963605615117</v>
      </c>
      <c r="AH13" s="36" t="n">
        <f aca="false">MATCH(MIN(AE13:AG13),AE13:AG13,0)</f>
        <v>3</v>
      </c>
      <c r="AI13" s="37" t="n">
        <f aca="false">SQRT(SUMXMY2($B13:$E13,$B63:$E63))</f>
        <v>1.77356668840474</v>
      </c>
      <c r="AJ13" s="37" t="n">
        <f aca="false">SQRT(SUMXMY2($B13:$E13,$B64:$E64))</f>
        <v>4.51595656736361</v>
      </c>
      <c r="AK13" s="37" t="n">
        <f aca="false">SQRT(SUMXMY2($B13:$E13,$B65:$E65))</f>
        <v>0.545963605615117</v>
      </c>
      <c r="AL13" s="36" t="n">
        <f aca="false">MATCH(MIN(AI13:AK13),AI13:AK13,0)</f>
        <v>3</v>
      </c>
      <c r="AM13" s="37" t="n">
        <f aca="false">INDEX(AI13:AK13,AL13)</f>
        <v>0.545963605615117</v>
      </c>
    </row>
    <row r="14" customFormat="false" ht="15" hidden="false" customHeight="false" outlineLevel="0" collapsed="false">
      <c r="A14" s="19" t="str">
        <f aca="false">Features!A14</f>
        <v>Gaming &amp; entertainment</v>
      </c>
      <c r="B14" s="35" t="n">
        <f aca="false">Features!I14</f>
        <v>-0.215613163981878</v>
      </c>
      <c r="C14" s="35" t="n">
        <f aca="false">Features!J14</f>
        <v>-0.541677742045333</v>
      </c>
      <c r="D14" s="35" t="n">
        <f aca="false">Features!K14</f>
        <v>-0.516741735176732</v>
      </c>
      <c r="E14" s="35" t="n">
        <f aca="false">Features!L14</f>
        <v>-0.0124588119468999</v>
      </c>
      <c r="F14" s="36" t="n">
        <f aca="false">AL14</f>
        <v>3</v>
      </c>
      <c r="G14" s="37" t="n">
        <f aca="false">SQRT(SUMXMY2($B14:$E14,$B28:$E28))</f>
        <v>2.50953347556882</v>
      </c>
      <c r="H14" s="37" t="n">
        <f aca="false">SQRT(SUMXMY2($B14:$E14,$B29:$E29))</f>
        <v>4.98868478589967</v>
      </c>
      <c r="I14" s="37" t="n">
        <f aca="false">SQRT(SUMXMY2($B14:$E14,$B30:$E30))</f>
        <v>1.28106357462997</v>
      </c>
      <c r="J14" s="36" t="n">
        <f aca="false">MATCH(MIN(G14:I14),G14:I14,0)</f>
        <v>3</v>
      </c>
      <c r="K14" s="37" t="n">
        <f aca="false">SQRT(SUMXMY2($B14:$E14,$B33:$E33))</f>
        <v>1.97260146466592</v>
      </c>
      <c r="L14" s="37" t="n">
        <f aca="false">SQRT(SUMXMY2($B14:$E14,$B34:$E34))</f>
        <v>4.25460400640025</v>
      </c>
      <c r="M14" s="37" t="n">
        <f aca="false">SQRT(SUMXMY2($B14:$E14,$B35:$E35))</f>
        <v>0.540416698607143</v>
      </c>
      <c r="N14" s="36" t="n">
        <f aca="false">MATCH(MIN(K14:M14),K14:M14,0)</f>
        <v>3</v>
      </c>
      <c r="O14" s="37" t="n">
        <f aca="false">SQRT(SUMXMY2($B14:$E14,$B38:$E38))</f>
        <v>1.97260146466592</v>
      </c>
      <c r="P14" s="37" t="n">
        <f aca="false">SQRT(SUMXMY2($B14:$E14,$B39:$E39))</f>
        <v>4.25460400640025</v>
      </c>
      <c r="Q14" s="37" t="n">
        <f aca="false">SQRT(SUMXMY2($B14:$E14,$B40:$E40))</f>
        <v>0.540416698607143</v>
      </c>
      <c r="R14" s="36" t="n">
        <f aca="false">MATCH(MIN(O14:Q14),O14:Q14,0)</f>
        <v>3</v>
      </c>
      <c r="S14" s="37" t="n">
        <f aca="false">SQRT(SUMXMY2($B14:$E14,$B43:$E43))</f>
        <v>1.97260146466592</v>
      </c>
      <c r="T14" s="37" t="n">
        <f aca="false">SQRT(SUMXMY2($B14:$E14,$B44:$E44))</f>
        <v>4.25460400640025</v>
      </c>
      <c r="U14" s="37" t="n">
        <f aca="false">SQRT(SUMXMY2($B14:$E14,$B45:$E45))</f>
        <v>0.540416698607143</v>
      </c>
      <c r="V14" s="36" t="n">
        <f aca="false">MATCH(MIN(S14:U14),S14:U14,0)</f>
        <v>3</v>
      </c>
      <c r="W14" s="37" t="n">
        <f aca="false">SQRT(SUMXMY2($B14:$E14,$B48:$E48))</f>
        <v>1.97260146466592</v>
      </c>
      <c r="X14" s="37" t="n">
        <f aca="false">SQRT(SUMXMY2($B14:$E14,$B49:$E49))</f>
        <v>4.25460400640025</v>
      </c>
      <c r="Y14" s="37" t="n">
        <f aca="false">SQRT(SUMXMY2($B14:$E14,$B50:$E50))</f>
        <v>0.540416698607143</v>
      </c>
      <c r="Z14" s="36" t="n">
        <f aca="false">MATCH(MIN(W14:Y14),W14:Y14,0)</f>
        <v>3</v>
      </c>
      <c r="AA14" s="37" t="n">
        <f aca="false">SQRT(SUMXMY2($B14:$E14,$B53:$E53))</f>
        <v>1.97260146466592</v>
      </c>
      <c r="AB14" s="37" t="n">
        <f aca="false">SQRT(SUMXMY2($B14:$E14,$B54:$E54))</f>
        <v>4.25460400640025</v>
      </c>
      <c r="AC14" s="37" t="n">
        <f aca="false">SQRT(SUMXMY2($B14:$E14,$B55:$E55))</f>
        <v>0.540416698607143</v>
      </c>
      <c r="AD14" s="36" t="n">
        <f aca="false">MATCH(MIN(AA14:AC14),AA14:AC14,0)</f>
        <v>3</v>
      </c>
      <c r="AE14" s="37" t="n">
        <f aca="false">SQRT(SUMXMY2($B14:$E14,$B58:$E58))</f>
        <v>1.97260146466592</v>
      </c>
      <c r="AF14" s="37" t="n">
        <f aca="false">SQRT(SUMXMY2($B14:$E14,$B59:$E59))</f>
        <v>4.25460400640025</v>
      </c>
      <c r="AG14" s="37" t="n">
        <f aca="false">SQRT(SUMXMY2($B14:$E14,$B60:$E60))</f>
        <v>0.540416698607143</v>
      </c>
      <c r="AH14" s="36" t="n">
        <f aca="false">MATCH(MIN(AE14:AG14),AE14:AG14,0)</f>
        <v>3</v>
      </c>
      <c r="AI14" s="37" t="n">
        <f aca="false">SQRT(SUMXMY2($B14:$E14,$B63:$E63))</f>
        <v>1.97260146466592</v>
      </c>
      <c r="AJ14" s="37" t="n">
        <f aca="false">SQRT(SUMXMY2($B14:$E14,$B64:$E64))</f>
        <v>4.25460400640025</v>
      </c>
      <c r="AK14" s="37" t="n">
        <f aca="false">SQRT(SUMXMY2($B14:$E14,$B65:$E65))</f>
        <v>0.540416698607143</v>
      </c>
      <c r="AL14" s="36" t="n">
        <f aca="false">MATCH(MIN(AI14:AK14),AI14:AK14,0)</f>
        <v>3</v>
      </c>
      <c r="AM14" s="37" t="n">
        <f aca="false">INDEX(AI14:AK14,AL14)</f>
        <v>0.540416698607143</v>
      </c>
    </row>
    <row r="15" customFormat="false" ht="15" hidden="false" customHeight="false" outlineLevel="0" collapsed="false">
      <c r="A15" s="19" t="str">
        <f aca="false">Features!A15</f>
        <v>Chemicals &amp; pharmaceuticals</v>
      </c>
      <c r="B15" s="35" t="n">
        <f aca="false">Features!I15</f>
        <v>-0.169337986413106</v>
      </c>
      <c r="C15" s="35" t="n">
        <f aca="false">Features!J15</f>
        <v>-0.853154161752065</v>
      </c>
      <c r="D15" s="35" t="n">
        <f aca="false">Features!K15</f>
        <v>0.2406420632599</v>
      </c>
      <c r="E15" s="35" t="n">
        <f aca="false">Features!L15</f>
        <v>-0.875204791692925</v>
      </c>
      <c r="F15" s="36" t="n">
        <f aca="false">AL15</f>
        <v>3</v>
      </c>
      <c r="G15" s="37" t="n">
        <f aca="false">SQRT(SUMXMY2($B15:$E15,$B28:$E28))</f>
        <v>2.47749160909251</v>
      </c>
      <c r="H15" s="37" t="n">
        <f aca="false">SQRT(SUMXMY2($B15:$E15,$B29:$E29))</f>
        <v>5.27254964104868</v>
      </c>
      <c r="I15" s="37" t="n">
        <f aca="false">SQRT(SUMXMY2($B15:$E15,$B30:$E30))</f>
        <v>0.762270143934244</v>
      </c>
      <c r="J15" s="36" t="n">
        <f aca="false">MATCH(MIN(G15:I15),G15:I15,0)</f>
        <v>3</v>
      </c>
      <c r="K15" s="37" t="n">
        <f aca="false">SQRT(SUMXMY2($B15:$E15,$B33:$E33))</f>
        <v>2.35368304315038</v>
      </c>
      <c r="L15" s="37" t="n">
        <f aca="false">SQRT(SUMXMY2($B15:$E15,$B34:$E34))</f>
        <v>4.57524966777583</v>
      </c>
      <c r="M15" s="37" t="n">
        <f aca="false">SQRT(SUMXMY2($B15:$E15,$B35:$E35))</f>
        <v>0.862226261598089</v>
      </c>
      <c r="N15" s="36" t="n">
        <f aca="false">MATCH(MIN(K15:M15),K15:M15,0)</f>
        <v>3</v>
      </c>
      <c r="O15" s="37" t="n">
        <f aca="false">SQRT(SUMXMY2($B15:$E15,$B38:$E38))</f>
        <v>2.35368304315038</v>
      </c>
      <c r="P15" s="37" t="n">
        <f aca="false">SQRT(SUMXMY2($B15:$E15,$B39:$E39))</f>
        <v>4.57524966777583</v>
      </c>
      <c r="Q15" s="37" t="n">
        <f aca="false">SQRT(SUMXMY2($B15:$E15,$B40:$E40))</f>
        <v>0.862226261598089</v>
      </c>
      <c r="R15" s="36" t="n">
        <f aca="false">MATCH(MIN(O15:Q15),O15:Q15,0)</f>
        <v>3</v>
      </c>
      <c r="S15" s="37" t="n">
        <f aca="false">SQRT(SUMXMY2($B15:$E15,$B43:$E43))</f>
        <v>2.35368304315038</v>
      </c>
      <c r="T15" s="37" t="n">
        <f aca="false">SQRT(SUMXMY2($B15:$E15,$B44:$E44))</f>
        <v>4.57524966777583</v>
      </c>
      <c r="U15" s="37" t="n">
        <f aca="false">SQRT(SUMXMY2($B15:$E15,$B45:$E45))</f>
        <v>0.862226261598089</v>
      </c>
      <c r="V15" s="36" t="n">
        <f aca="false">MATCH(MIN(S15:U15),S15:U15,0)</f>
        <v>3</v>
      </c>
      <c r="W15" s="37" t="n">
        <f aca="false">SQRT(SUMXMY2($B15:$E15,$B48:$E48))</f>
        <v>2.35368304315038</v>
      </c>
      <c r="X15" s="37" t="n">
        <f aca="false">SQRT(SUMXMY2($B15:$E15,$B49:$E49))</f>
        <v>4.57524966777583</v>
      </c>
      <c r="Y15" s="37" t="n">
        <f aca="false">SQRT(SUMXMY2($B15:$E15,$B50:$E50))</f>
        <v>0.862226261598089</v>
      </c>
      <c r="Z15" s="36" t="n">
        <f aca="false">MATCH(MIN(W15:Y15),W15:Y15,0)</f>
        <v>3</v>
      </c>
      <c r="AA15" s="37" t="n">
        <f aca="false">SQRT(SUMXMY2($B15:$E15,$B53:$E53))</f>
        <v>2.35368304315038</v>
      </c>
      <c r="AB15" s="37" t="n">
        <f aca="false">SQRT(SUMXMY2($B15:$E15,$B54:$E54))</f>
        <v>4.57524966777583</v>
      </c>
      <c r="AC15" s="37" t="n">
        <f aca="false">SQRT(SUMXMY2($B15:$E15,$B55:$E55))</f>
        <v>0.862226261598089</v>
      </c>
      <c r="AD15" s="36" t="n">
        <f aca="false">MATCH(MIN(AA15:AC15),AA15:AC15,0)</f>
        <v>3</v>
      </c>
      <c r="AE15" s="37" t="n">
        <f aca="false">SQRT(SUMXMY2($B15:$E15,$B58:$E58))</f>
        <v>2.35368304315038</v>
      </c>
      <c r="AF15" s="37" t="n">
        <f aca="false">SQRT(SUMXMY2($B15:$E15,$B59:$E59))</f>
        <v>4.57524966777583</v>
      </c>
      <c r="AG15" s="37" t="n">
        <f aca="false">SQRT(SUMXMY2($B15:$E15,$B60:$E60))</f>
        <v>0.862226261598089</v>
      </c>
      <c r="AH15" s="36" t="n">
        <f aca="false">MATCH(MIN(AE15:AG15),AE15:AG15,0)</f>
        <v>3</v>
      </c>
      <c r="AI15" s="37" t="n">
        <f aca="false">SQRT(SUMXMY2($B15:$E15,$B63:$E63))</f>
        <v>2.35368304315038</v>
      </c>
      <c r="AJ15" s="37" t="n">
        <f aca="false">SQRT(SUMXMY2($B15:$E15,$B64:$E64))</f>
        <v>4.57524966777583</v>
      </c>
      <c r="AK15" s="37" t="n">
        <f aca="false">SQRT(SUMXMY2($B15:$E15,$B65:$E65))</f>
        <v>0.862226261598089</v>
      </c>
      <c r="AL15" s="36" t="n">
        <f aca="false">MATCH(MIN(AI15:AK15),AI15:AK15,0)</f>
        <v>3</v>
      </c>
      <c r="AM15" s="37" t="n">
        <f aca="false">INDEX(AI15:AK15,AL15)</f>
        <v>0.862226261598089</v>
      </c>
    </row>
    <row r="16" customFormat="false" ht="15" hidden="false" customHeight="false" outlineLevel="0" collapsed="false">
      <c r="A16" s="19" t="str">
        <f aca="false">Features!A16</f>
        <v>Renewables</v>
      </c>
      <c r="B16" s="35" t="n">
        <f aca="false">Features!I16</f>
        <v>-0.70715048868715</v>
      </c>
      <c r="C16" s="35" t="n">
        <f aca="false">Features!J16</f>
        <v>0.650453524747174</v>
      </c>
      <c r="D16" s="35" t="n">
        <f aca="false">Features!K16</f>
        <v>1.09831435569878</v>
      </c>
      <c r="E16" s="35" t="n">
        <f aca="false">Features!L16</f>
        <v>-1.0516498394249</v>
      </c>
      <c r="F16" s="36" t="n">
        <f aca="false">AL16</f>
        <v>3</v>
      </c>
      <c r="G16" s="37" t="n">
        <f aca="false">SQRT(SUMXMY2($B16:$E16,$B28:$E28))</f>
        <v>3.54146287633919</v>
      </c>
      <c r="H16" s="37" t="n">
        <f aca="false">SQRT(SUMXMY2($B16:$E16,$B29:$E29))</f>
        <v>4.06883002285509</v>
      </c>
      <c r="I16" s="37" t="n">
        <f aca="false">SQRT(SUMXMY2($B16:$E16,$B30:$E30))</f>
        <v>1.41461363394337</v>
      </c>
      <c r="J16" s="36" t="n">
        <f aca="false">MATCH(MIN(G16:I16),G16:I16,0)</f>
        <v>3</v>
      </c>
      <c r="K16" s="37" t="n">
        <f aca="false">SQRT(SUMXMY2($B16:$E16,$B33:$E33))</f>
        <v>3.27194264063563</v>
      </c>
      <c r="L16" s="37" t="n">
        <f aca="false">SQRT(SUMXMY2($B16:$E16,$B34:$E34))</f>
        <v>3.56233474296009</v>
      </c>
      <c r="M16" s="37" t="n">
        <f aca="false">SQRT(SUMXMY2($B16:$E16,$B35:$E35))</f>
        <v>1.80013551279276</v>
      </c>
      <c r="N16" s="36" t="n">
        <f aca="false">MATCH(MIN(K16:M16),K16:M16,0)</f>
        <v>3</v>
      </c>
      <c r="O16" s="37" t="n">
        <f aca="false">SQRT(SUMXMY2($B16:$E16,$B38:$E38))</f>
        <v>3.27194264063563</v>
      </c>
      <c r="P16" s="37" t="n">
        <f aca="false">SQRT(SUMXMY2($B16:$E16,$B39:$E39))</f>
        <v>3.56233474296009</v>
      </c>
      <c r="Q16" s="37" t="n">
        <f aca="false">SQRT(SUMXMY2($B16:$E16,$B40:$E40))</f>
        <v>1.80013551279276</v>
      </c>
      <c r="R16" s="36" t="n">
        <f aca="false">MATCH(MIN(O16:Q16),O16:Q16,0)</f>
        <v>3</v>
      </c>
      <c r="S16" s="37" t="n">
        <f aca="false">SQRT(SUMXMY2($B16:$E16,$B43:$E43))</f>
        <v>3.27194264063563</v>
      </c>
      <c r="T16" s="37" t="n">
        <f aca="false">SQRT(SUMXMY2($B16:$E16,$B44:$E44))</f>
        <v>3.56233474296009</v>
      </c>
      <c r="U16" s="37" t="n">
        <f aca="false">SQRT(SUMXMY2($B16:$E16,$B45:$E45))</f>
        <v>1.80013551279276</v>
      </c>
      <c r="V16" s="36" t="n">
        <f aca="false">MATCH(MIN(S16:U16),S16:U16,0)</f>
        <v>3</v>
      </c>
      <c r="W16" s="37" t="n">
        <f aca="false">SQRT(SUMXMY2($B16:$E16,$B48:$E48))</f>
        <v>3.27194264063563</v>
      </c>
      <c r="X16" s="37" t="n">
        <f aca="false">SQRT(SUMXMY2($B16:$E16,$B49:$E49))</f>
        <v>3.56233474296009</v>
      </c>
      <c r="Y16" s="37" t="n">
        <f aca="false">SQRT(SUMXMY2($B16:$E16,$B50:$E50))</f>
        <v>1.80013551279276</v>
      </c>
      <c r="Z16" s="36" t="n">
        <f aca="false">MATCH(MIN(W16:Y16),W16:Y16,0)</f>
        <v>3</v>
      </c>
      <c r="AA16" s="37" t="n">
        <f aca="false">SQRT(SUMXMY2($B16:$E16,$B53:$E53))</f>
        <v>3.27194264063563</v>
      </c>
      <c r="AB16" s="37" t="n">
        <f aca="false">SQRT(SUMXMY2($B16:$E16,$B54:$E54))</f>
        <v>3.56233474296009</v>
      </c>
      <c r="AC16" s="37" t="n">
        <f aca="false">SQRT(SUMXMY2($B16:$E16,$B55:$E55))</f>
        <v>1.80013551279276</v>
      </c>
      <c r="AD16" s="36" t="n">
        <f aca="false">MATCH(MIN(AA16:AC16),AA16:AC16,0)</f>
        <v>3</v>
      </c>
      <c r="AE16" s="37" t="n">
        <f aca="false">SQRT(SUMXMY2($B16:$E16,$B58:$E58))</f>
        <v>3.27194264063563</v>
      </c>
      <c r="AF16" s="37" t="n">
        <f aca="false">SQRT(SUMXMY2($B16:$E16,$B59:$E59))</f>
        <v>3.56233474296009</v>
      </c>
      <c r="AG16" s="37" t="n">
        <f aca="false">SQRT(SUMXMY2($B16:$E16,$B60:$E60))</f>
        <v>1.80013551279276</v>
      </c>
      <c r="AH16" s="36" t="n">
        <f aca="false">MATCH(MIN(AE16:AG16),AE16:AG16,0)</f>
        <v>3</v>
      </c>
      <c r="AI16" s="37" t="n">
        <f aca="false">SQRT(SUMXMY2($B16:$E16,$B63:$E63))</f>
        <v>3.27194264063563</v>
      </c>
      <c r="AJ16" s="37" t="n">
        <f aca="false">SQRT(SUMXMY2($B16:$E16,$B64:$E64))</f>
        <v>3.56233474296009</v>
      </c>
      <c r="AK16" s="37" t="n">
        <f aca="false">SQRT(SUMXMY2($B16:$E16,$B65:$E65))</f>
        <v>1.80013551279276</v>
      </c>
      <c r="AL16" s="36" t="n">
        <f aca="false">MATCH(MIN(AI16:AK16),AI16:AK16,0)</f>
        <v>3</v>
      </c>
      <c r="AM16" s="37" t="n">
        <f aca="false">INDEX(AI16:AK16,AL16)</f>
        <v>1.80013551279276</v>
      </c>
    </row>
    <row r="17" customFormat="false" ht="15" hidden="false" customHeight="false" outlineLevel="0" collapsed="false">
      <c r="A17" s="19" t="str">
        <f aca="false">Features!A17</f>
        <v>Forestry</v>
      </c>
      <c r="B17" s="35" t="n">
        <f aca="false">Features!I17</f>
        <v>-1.50078529128451</v>
      </c>
      <c r="C17" s="35" t="n">
        <f aca="false">Features!J17</f>
        <v>0.966368310447188</v>
      </c>
      <c r="D17" s="35" t="n">
        <f aca="false">Features!K17</f>
        <v>1.84080031886491</v>
      </c>
      <c r="E17" s="35" t="n">
        <f aca="false">Features!L17</f>
        <v>2.21608157954835</v>
      </c>
      <c r="F17" s="36" t="n">
        <f aca="false">AL17</f>
        <v>2</v>
      </c>
      <c r="G17" s="37" t="n">
        <f aca="false">SQRT(SUMXMY2($B17:$E17,$B28:$E28))</f>
        <v>5.29053984774068</v>
      </c>
      <c r="H17" s="37" t="n">
        <f aca="false">SQRT(SUMXMY2($B17:$E17,$B29:$E29))</f>
        <v>2.50357044911749</v>
      </c>
      <c r="I17" s="37" t="n">
        <f aca="false">SQRT(SUMXMY2($B17:$E17,$B30:$E30))</f>
        <v>3.95536150311273</v>
      </c>
      <c r="J17" s="36" t="n">
        <f aca="false">MATCH(MIN(G17:I17),G17:I17,0)</f>
        <v>2</v>
      </c>
      <c r="K17" s="37" t="n">
        <f aca="false">SQRT(SUMXMY2($B17:$E17,$B33:$E33))</f>
        <v>4.76782246340425</v>
      </c>
      <c r="L17" s="37" t="n">
        <f aca="false">SQRT(SUMXMY2($B17:$E17,$B34:$E34))</f>
        <v>1.25178522455874</v>
      </c>
      <c r="M17" s="37" t="n">
        <f aca="false">SQRT(SUMXMY2($B17:$E17,$B35:$E35))</f>
        <v>3.73944953682917</v>
      </c>
      <c r="N17" s="36" t="n">
        <f aca="false">MATCH(MIN(K17:M17),K17:M17,0)</f>
        <v>2</v>
      </c>
      <c r="O17" s="37" t="n">
        <f aca="false">SQRT(SUMXMY2($B17:$E17,$B38:$E38))</f>
        <v>4.76782246340425</v>
      </c>
      <c r="P17" s="37" t="n">
        <f aca="false">SQRT(SUMXMY2($B17:$E17,$B39:$E39))</f>
        <v>1.25178522455874</v>
      </c>
      <c r="Q17" s="37" t="n">
        <f aca="false">SQRT(SUMXMY2($B17:$E17,$B40:$E40))</f>
        <v>3.73944953682917</v>
      </c>
      <c r="R17" s="36" t="n">
        <f aca="false">MATCH(MIN(O17:Q17),O17:Q17,0)</f>
        <v>2</v>
      </c>
      <c r="S17" s="37" t="n">
        <f aca="false">SQRT(SUMXMY2($B17:$E17,$B43:$E43))</f>
        <v>4.76782246340425</v>
      </c>
      <c r="T17" s="37" t="n">
        <f aca="false">SQRT(SUMXMY2($B17:$E17,$B44:$E44))</f>
        <v>1.25178522455874</v>
      </c>
      <c r="U17" s="37" t="n">
        <f aca="false">SQRT(SUMXMY2($B17:$E17,$B45:$E45))</f>
        <v>3.73944953682917</v>
      </c>
      <c r="V17" s="36" t="n">
        <f aca="false">MATCH(MIN(S17:U17),S17:U17,0)</f>
        <v>2</v>
      </c>
      <c r="W17" s="37" t="n">
        <f aca="false">SQRT(SUMXMY2($B17:$E17,$B48:$E48))</f>
        <v>4.76782246340425</v>
      </c>
      <c r="X17" s="37" t="n">
        <f aca="false">SQRT(SUMXMY2($B17:$E17,$B49:$E49))</f>
        <v>1.25178522455874</v>
      </c>
      <c r="Y17" s="37" t="n">
        <f aca="false">SQRT(SUMXMY2($B17:$E17,$B50:$E50))</f>
        <v>3.73944953682917</v>
      </c>
      <c r="Z17" s="36" t="n">
        <f aca="false">MATCH(MIN(W17:Y17),W17:Y17,0)</f>
        <v>2</v>
      </c>
      <c r="AA17" s="37" t="n">
        <f aca="false">SQRT(SUMXMY2($B17:$E17,$B53:$E53))</f>
        <v>4.76782246340425</v>
      </c>
      <c r="AB17" s="37" t="n">
        <f aca="false">SQRT(SUMXMY2($B17:$E17,$B54:$E54))</f>
        <v>1.25178522455874</v>
      </c>
      <c r="AC17" s="37" t="n">
        <f aca="false">SQRT(SUMXMY2($B17:$E17,$B55:$E55))</f>
        <v>3.73944953682917</v>
      </c>
      <c r="AD17" s="36" t="n">
        <f aca="false">MATCH(MIN(AA17:AC17),AA17:AC17,0)</f>
        <v>2</v>
      </c>
      <c r="AE17" s="37" t="n">
        <f aca="false">SQRT(SUMXMY2($B17:$E17,$B58:$E58))</f>
        <v>4.76782246340425</v>
      </c>
      <c r="AF17" s="37" t="n">
        <f aca="false">SQRT(SUMXMY2($B17:$E17,$B59:$E59))</f>
        <v>1.25178522455874</v>
      </c>
      <c r="AG17" s="37" t="n">
        <f aca="false">SQRT(SUMXMY2($B17:$E17,$B60:$E60))</f>
        <v>3.73944953682917</v>
      </c>
      <c r="AH17" s="36" t="n">
        <f aca="false">MATCH(MIN(AE17:AG17),AE17:AG17,0)</f>
        <v>2</v>
      </c>
      <c r="AI17" s="37" t="n">
        <f aca="false">SQRT(SUMXMY2($B17:$E17,$B63:$E63))</f>
        <v>4.76782246340425</v>
      </c>
      <c r="AJ17" s="37" t="n">
        <f aca="false">SQRT(SUMXMY2($B17:$E17,$B64:$E64))</f>
        <v>1.25178522455874</v>
      </c>
      <c r="AK17" s="37" t="n">
        <f aca="false">SQRT(SUMXMY2($B17:$E17,$B65:$E65))</f>
        <v>3.73944953682917</v>
      </c>
      <c r="AL17" s="36" t="n">
        <f aca="false">MATCH(MIN(AI17:AK17),AI17:AK17,0)</f>
        <v>2</v>
      </c>
      <c r="AM17" s="37" t="n">
        <f aca="false">INDEX(AI17:AK17,AL17)</f>
        <v>1.25178522455874</v>
      </c>
    </row>
    <row r="18" customFormat="false" ht="15" hidden="false" customHeight="false" outlineLevel="0" collapsed="false">
      <c r="A18" s="19" t="str">
        <f aca="false">Features!A18</f>
        <v>Transport</v>
      </c>
      <c r="B18" s="35" t="n">
        <f aca="false">Features!I18</f>
        <v>-0.70715048868715</v>
      </c>
      <c r="C18" s="35" t="n">
        <f aca="false">Features!J18</f>
        <v>-0.289533656584597</v>
      </c>
      <c r="D18" s="35" t="n">
        <f aca="false">Features!K18</f>
        <v>-0.0126153225792112</v>
      </c>
      <c r="E18" s="35" t="n">
        <f aca="false">Features!L18</f>
        <v>-0.908641899863707</v>
      </c>
      <c r="F18" s="36" t="n">
        <f aca="false">AL18</f>
        <v>3</v>
      </c>
      <c r="G18" s="37" t="n">
        <f aca="false">SQRT(SUMXMY2($B18:$E18,$B28:$E28))</f>
        <v>3.00864329541005</v>
      </c>
      <c r="H18" s="37" t="n">
        <f aca="false">SQRT(SUMXMY2($B18:$E18,$B29:$E29))</f>
        <v>5.00241249673033</v>
      </c>
      <c r="I18" s="37" t="n">
        <f aca="false">SQRT(SUMXMY2($B18:$E18,$B30:$E30))</f>
        <v>0.164112064596924</v>
      </c>
      <c r="J18" s="36" t="n">
        <f aca="false">MATCH(MIN(G18:I18),G18:I18,0)</f>
        <v>3</v>
      </c>
      <c r="K18" s="37" t="n">
        <f aca="false">SQRT(SUMXMY2($B18:$E18,$B33:$E33))</f>
        <v>2.66856918108747</v>
      </c>
      <c r="L18" s="37" t="n">
        <f aca="false">SQRT(SUMXMY2($B18:$E18,$B34:$E34))</f>
        <v>4.31835562477336</v>
      </c>
      <c r="M18" s="37" t="n">
        <f aca="false">SQRT(SUMXMY2($B18:$E18,$B35:$E35))</f>
        <v>0.692213399778585</v>
      </c>
      <c r="N18" s="36" t="n">
        <f aca="false">MATCH(MIN(K18:M18),K18:M18,0)</f>
        <v>3</v>
      </c>
      <c r="O18" s="37" t="n">
        <f aca="false">SQRT(SUMXMY2($B18:$E18,$B38:$E38))</f>
        <v>2.66856918108747</v>
      </c>
      <c r="P18" s="37" t="n">
        <f aca="false">SQRT(SUMXMY2($B18:$E18,$B39:$E39))</f>
        <v>4.31835562477336</v>
      </c>
      <c r="Q18" s="37" t="n">
        <f aca="false">SQRT(SUMXMY2($B18:$E18,$B40:$E40))</f>
        <v>0.692213399778585</v>
      </c>
      <c r="R18" s="36" t="n">
        <f aca="false">MATCH(MIN(O18:Q18),O18:Q18,0)</f>
        <v>3</v>
      </c>
      <c r="S18" s="37" t="n">
        <f aca="false">SQRT(SUMXMY2($B18:$E18,$B43:$E43))</f>
        <v>2.66856918108747</v>
      </c>
      <c r="T18" s="37" t="n">
        <f aca="false">SQRT(SUMXMY2($B18:$E18,$B44:$E44))</f>
        <v>4.31835562477336</v>
      </c>
      <c r="U18" s="37" t="n">
        <f aca="false">SQRT(SUMXMY2($B18:$E18,$B45:$E45))</f>
        <v>0.692213399778585</v>
      </c>
      <c r="V18" s="36" t="n">
        <f aca="false">MATCH(MIN(S18:U18),S18:U18,0)</f>
        <v>3</v>
      </c>
      <c r="W18" s="37" t="n">
        <f aca="false">SQRT(SUMXMY2($B18:$E18,$B48:$E48))</f>
        <v>2.66856918108747</v>
      </c>
      <c r="X18" s="37" t="n">
        <f aca="false">SQRT(SUMXMY2($B18:$E18,$B49:$E49))</f>
        <v>4.31835562477336</v>
      </c>
      <c r="Y18" s="37" t="n">
        <f aca="false">SQRT(SUMXMY2($B18:$E18,$B50:$E50))</f>
        <v>0.692213399778585</v>
      </c>
      <c r="Z18" s="36" t="n">
        <f aca="false">MATCH(MIN(W18:Y18),W18:Y18,0)</f>
        <v>3</v>
      </c>
      <c r="AA18" s="37" t="n">
        <f aca="false">SQRT(SUMXMY2($B18:$E18,$B53:$E53))</f>
        <v>2.66856918108747</v>
      </c>
      <c r="AB18" s="37" t="n">
        <f aca="false">SQRT(SUMXMY2($B18:$E18,$B54:$E54))</f>
        <v>4.31835562477336</v>
      </c>
      <c r="AC18" s="37" t="n">
        <f aca="false">SQRT(SUMXMY2($B18:$E18,$B55:$E55))</f>
        <v>0.692213399778585</v>
      </c>
      <c r="AD18" s="36" t="n">
        <f aca="false">MATCH(MIN(AA18:AC18),AA18:AC18,0)</f>
        <v>3</v>
      </c>
      <c r="AE18" s="37" t="n">
        <f aca="false">SQRT(SUMXMY2($B18:$E18,$B58:$E58))</f>
        <v>2.66856918108747</v>
      </c>
      <c r="AF18" s="37" t="n">
        <f aca="false">SQRT(SUMXMY2($B18:$E18,$B59:$E59))</f>
        <v>4.31835562477336</v>
      </c>
      <c r="AG18" s="37" t="n">
        <f aca="false">SQRT(SUMXMY2($B18:$E18,$B60:$E60))</f>
        <v>0.692213399778585</v>
      </c>
      <c r="AH18" s="36" t="n">
        <f aca="false">MATCH(MIN(AE18:AG18),AE18:AG18,0)</f>
        <v>3</v>
      </c>
      <c r="AI18" s="37" t="n">
        <f aca="false">SQRT(SUMXMY2($B18:$E18,$B63:$E63))</f>
        <v>2.66856918108747</v>
      </c>
      <c r="AJ18" s="37" t="n">
        <f aca="false">SQRT(SUMXMY2($B18:$E18,$B64:$E64))</f>
        <v>4.31835562477336</v>
      </c>
      <c r="AK18" s="37" t="n">
        <f aca="false">SQRT(SUMXMY2($B18:$E18,$B65:$E65))</f>
        <v>0.692213399778585</v>
      </c>
      <c r="AL18" s="36" t="n">
        <f aca="false">MATCH(MIN(AI18:AK18),AI18:AK18,0)</f>
        <v>3</v>
      </c>
      <c r="AM18" s="37" t="n">
        <f aca="false">INDEX(AI18:AK18,AL18)</f>
        <v>0.692213399778585</v>
      </c>
    </row>
    <row r="19" customFormat="false" ht="15" hidden="false" customHeight="false" outlineLevel="0" collapsed="false">
      <c r="A19" s="19" t="str">
        <f aca="false">Features!A19</f>
        <v>Technology</v>
      </c>
      <c r="B19" s="35" t="n">
        <f aca="false">Features!I19</f>
        <v>-0.723240091183966</v>
      </c>
      <c r="C19" s="35" t="n">
        <f aca="false">Features!J19</f>
        <v>-0.359500339984696</v>
      </c>
      <c r="D19" s="35" t="n">
        <f aca="false">Features!K19</f>
        <v>0.109780796345887</v>
      </c>
      <c r="E19" s="35" t="n">
        <f aca="false">Features!L19</f>
        <v>-0.991090354814803</v>
      </c>
      <c r="F19" s="36" t="n">
        <f aca="false">AL19</f>
        <v>3</v>
      </c>
      <c r="G19" s="37" t="n">
        <f aca="false">SQRT(SUMXMY2($B19:$E19,$B28:$E28))</f>
        <v>3.0386174071611</v>
      </c>
      <c r="H19" s="37" t="n">
        <f aca="false">SQRT(SUMXMY2($B19:$E19,$B29:$E29))</f>
        <v>5.04579206401283</v>
      </c>
      <c r="I19" s="37" t="n">
        <f aca="false">SQRT(SUMXMY2($B19:$E19,$B30:$E30))</f>
        <v>0</v>
      </c>
      <c r="J19" s="36" t="n">
        <f aca="false">MATCH(MIN(G19:I19),G19:I19,0)</f>
        <v>3</v>
      </c>
      <c r="K19" s="37" t="n">
        <f aca="false">SQRT(SUMXMY2($B19:$E19,$B33:$E33))</f>
        <v>2.74604239363277</v>
      </c>
      <c r="L19" s="37" t="n">
        <f aca="false">SQRT(SUMXMY2($B19:$E19,$B34:$E34))</f>
        <v>4.3572336221916</v>
      </c>
      <c r="M19" s="37" t="n">
        <f aca="false">SQRT(SUMXMY2($B19:$E19,$B35:$E35))</f>
        <v>0.80503402389696</v>
      </c>
      <c r="N19" s="36" t="n">
        <f aca="false">MATCH(MIN(K19:M19),K19:M19,0)</f>
        <v>3</v>
      </c>
      <c r="O19" s="37" t="n">
        <f aca="false">SQRT(SUMXMY2($B19:$E19,$B38:$E38))</f>
        <v>2.74604239363277</v>
      </c>
      <c r="P19" s="37" t="n">
        <f aca="false">SQRT(SUMXMY2($B19:$E19,$B39:$E39))</f>
        <v>4.3572336221916</v>
      </c>
      <c r="Q19" s="37" t="n">
        <f aca="false">SQRT(SUMXMY2($B19:$E19,$B40:$E40))</f>
        <v>0.80503402389696</v>
      </c>
      <c r="R19" s="36" t="n">
        <f aca="false">MATCH(MIN(O19:Q19),O19:Q19,0)</f>
        <v>3</v>
      </c>
      <c r="S19" s="37" t="n">
        <f aca="false">SQRT(SUMXMY2($B19:$E19,$B43:$E43))</f>
        <v>2.74604239363277</v>
      </c>
      <c r="T19" s="37" t="n">
        <f aca="false">SQRT(SUMXMY2($B19:$E19,$B44:$E44))</f>
        <v>4.3572336221916</v>
      </c>
      <c r="U19" s="37" t="n">
        <f aca="false">SQRT(SUMXMY2($B19:$E19,$B45:$E45))</f>
        <v>0.80503402389696</v>
      </c>
      <c r="V19" s="36" t="n">
        <f aca="false">MATCH(MIN(S19:U19),S19:U19,0)</f>
        <v>3</v>
      </c>
      <c r="W19" s="37" t="n">
        <f aca="false">SQRT(SUMXMY2($B19:$E19,$B48:$E48))</f>
        <v>2.74604239363277</v>
      </c>
      <c r="X19" s="37" t="n">
        <f aca="false">SQRT(SUMXMY2($B19:$E19,$B49:$E49))</f>
        <v>4.3572336221916</v>
      </c>
      <c r="Y19" s="37" t="n">
        <f aca="false">SQRT(SUMXMY2($B19:$E19,$B50:$E50))</f>
        <v>0.80503402389696</v>
      </c>
      <c r="Z19" s="36" t="n">
        <f aca="false">MATCH(MIN(W19:Y19),W19:Y19,0)</f>
        <v>3</v>
      </c>
      <c r="AA19" s="37" t="n">
        <f aca="false">SQRT(SUMXMY2($B19:$E19,$B53:$E53))</f>
        <v>2.74604239363277</v>
      </c>
      <c r="AB19" s="37" t="n">
        <f aca="false">SQRT(SUMXMY2($B19:$E19,$B54:$E54))</f>
        <v>4.3572336221916</v>
      </c>
      <c r="AC19" s="37" t="n">
        <f aca="false">SQRT(SUMXMY2($B19:$E19,$B55:$E55))</f>
        <v>0.80503402389696</v>
      </c>
      <c r="AD19" s="36" t="n">
        <f aca="false">MATCH(MIN(AA19:AC19),AA19:AC19,0)</f>
        <v>3</v>
      </c>
      <c r="AE19" s="37" t="n">
        <f aca="false">SQRT(SUMXMY2($B19:$E19,$B58:$E58))</f>
        <v>2.74604239363277</v>
      </c>
      <c r="AF19" s="37" t="n">
        <f aca="false">SQRT(SUMXMY2($B19:$E19,$B59:$E59))</f>
        <v>4.3572336221916</v>
      </c>
      <c r="AG19" s="37" t="n">
        <f aca="false">SQRT(SUMXMY2($B19:$E19,$B60:$E60))</f>
        <v>0.80503402389696</v>
      </c>
      <c r="AH19" s="36" t="n">
        <f aca="false">MATCH(MIN(AE19:AG19),AE19:AG19,0)</f>
        <v>3</v>
      </c>
      <c r="AI19" s="37" t="n">
        <f aca="false">SQRT(SUMXMY2($B19:$E19,$B63:$E63))</f>
        <v>2.74604239363277</v>
      </c>
      <c r="AJ19" s="37" t="n">
        <f aca="false">SQRT(SUMXMY2($B19:$E19,$B64:$E64))</f>
        <v>4.3572336221916</v>
      </c>
      <c r="AK19" s="37" t="n">
        <f aca="false">SQRT(SUMXMY2($B19:$E19,$B65:$E65))</f>
        <v>0.80503402389696</v>
      </c>
      <c r="AL19" s="36" t="n">
        <f aca="false">MATCH(MIN(AI19:AK19),AI19:AK19,0)</f>
        <v>3</v>
      </c>
      <c r="AM19" s="37" t="n">
        <f aca="false">INDEX(AI19:AK19,AL19)</f>
        <v>0.80503402389696</v>
      </c>
    </row>
    <row r="20" customFormat="false" ht="15" hidden="false" customHeight="false" outlineLevel="0" collapsed="false">
      <c r="A20" s="19" t="str">
        <f aca="false">Features!A20</f>
        <v>Infrastructure</v>
      </c>
      <c r="B20" s="35" t="n">
        <f aca="false">Features!I20</f>
        <v>-0.930248554241181</v>
      </c>
      <c r="C20" s="35" t="n">
        <f aca="false">Features!J20</f>
        <v>-0.864108541476323</v>
      </c>
      <c r="D20" s="35" t="n">
        <f aca="false">Features!K20</f>
        <v>0.334103824574453</v>
      </c>
      <c r="E20" s="35" t="n">
        <f aca="false">Features!L20</f>
        <v>-0.977651545117073</v>
      </c>
      <c r="F20" s="36" t="n">
        <f aca="false">AL20</f>
        <v>3</v>
      </c>
      <c r="G20" s="37" t="n">
        <f aca="false">SQRT(SUMXMY2($B20:$E20,$B28:$E28))</f>
        <v>3.24914402729294</v>
      </c>
      <c r="H20" s="37" t="n">
        <f aca="false">SQRT(SUMXMY2($B20:$E20,$B29:$E29))</f>
        <v>5.33409833669037</v>
      </c>
      <c r="I20" s="37" t="n">
        <f aca="false">SQRT(SUMXMY2($B20:$E20,$B30:$E30))</f>
        <v>0.589901147133695</v>
      </c>
      <c r="J20" s="36" t="n">
        <f aca="false">MATCH(MIN(G20:I20),G20:I20,0)</f>
        <v>3</v>
      </c>
      <c r="K20" s="37" t="n">
        <f aca="false">SQRT(SUMXMY2($B20:$E20,$B33:$E33))</f>
        <v>3.06169755977701</v>
      </c>
      <c r="L20" s="37" t="n">
        <f aca="false">SQRT(SUMXMY2($B20:$E20,$B34:$E34))</f>
        <v>4.5532897909024</v>
      </c>
      <c r="M20" s="37" t="n">
        <f aca="false">SQRT(SUMXMY2($B20:$E20,$B35:$E35))</f>
        <v>1.15446742895255</v>
      </c>
      <c r="N20" s="36" t="n">
        <f aca="false">MATCH(MIN(K20:M20),K20:M20,0)</f>
        <v>3</v>
      </c>
      <c r="O20" s="37" t="n">
        <f aca="false">SQRT(SUMXMY2($B20:$E20,$B38:$E38))</f>
        <v>3.06169755977701</v>
      </c>
      <c r="P20" s="37" t="n">
        <f aca="false">SQRT(SUMXMY2($B20:$E20,$B39:$E39))</f>
        <v>4.5532897909024</v>
      </c>
      <c r="Q20" s="37" t="n">
        <f aca="false">SQRT(SUMXMY2($B20:$E20,$B40:$E40))</f>
        <v>1.15446742895255</v>
      </c>
      <c r="R20" s="36" t="n">
        <f aca="false">MATCH(MIN(O20:Q20),O20:Q20,0)</f>
        <v>3</v>
      </c>
      <c r="S20" s="37" t="n">
        <f aca="false">SQRT(SUMXMY2($B20:$E20,$B43:$E43))</f>
        <v>3.06169755977701</v>
      </c>
      <c r="T20" s="37" t="n">
        <f aca="false">SQRT(SUMXMY2($B20:$E20,$B44:$E44))</f>
        <v>4.5532897909024</v>
      </c>
      <c r="U20" s="37" t="n">
        <f aca="false">SQRT(SUMXMY2($B20:$E20,$B45:$E45))</f>
        <v>1.15446742895255</v>
      </c>
      <c r="V20" s="36" t="n">
        <f aca="false">MATCH(MIN(S20:U20),S20:U20,0)</f>
        <v>3</v>
      </c>
      <c r="W20" s="37" t="n">
        <f aca="false">SQRT(SUMXMY2($B20:$E20,$B48:$E48))</f>
        <v>3.06169755977701</v>
      </c>
      <c r="X20" s="37" t="n">
        <f aca="false">SQRT(SUMXMY2($B20:$E20,$B49:$E49))</f>
        <v>4.5532897909024</v>
      </c>
      <c r="Y20" s="37" t="n">
        <f aca="false">SQRT(SUMXMY2($B20:$E20,$B50:$E50))</f>
        <v>1.15446742895255</v>
      </c>
      <c r="Z20" s="36" t="n">
        <f aca="false">MATCH(MIN(W20:Y20),W20:Y20,0)</f>
        <v>3</v>
      </c>
      <c r="AA20" s="37" t="n">
        <f aca="false">SQRT(SUMXMY2($B20:$E20,$B53:$E53))</f>
        <v>3.06169755977701</v>
      </c>
      <c r="AB20" s="37" t="n">
        <f aca="false">SQRT(SUMXMY2($B20:$E20,$B54:$E54))</f>
        <v>4.5532897909024</v>
      </c>
      <c r="AC20" s="37" t="n">
        <f aca="false">SQRT(SUMXMY2($B20:$E20,$B55:$E55))</f>
        <v>1.15446742895255</v>
      </c>
      <c r="AD20" s="36" t="n">
        <f aca="false">MATCH(MIN(AA20:AC20),AA20:AC20,0)</f>
        <v>3</v>
      </c>
      <c r="AE20" s="37" t="n">
        <f aca="false">SQRT(SUMXMY2($B20:$E20,$B58:$E58))</f>
        <v>3.06169755977701</v>
      </c>
      <c r="AF20" s="37" t="n">
        <f aca="false">SQRT(SUMXMY2($B20:$E20,$B59:$E59))</f>
        <v>4.5532897909024</v>
      </c>
      <c r="AG20" s="37" t="n">
        <f aca="false">SQRT(SUMXMY2($B20:$E20,$B60:$E60))</f>
        <v>1.15446742895255</v>
      </c>
      <c r="AH20" s="36" t="n">
        <f aca="false">MATCH(MIN(AE20:AG20),AE20:AG20,0)</f>
        <v>3</v>
      </c>
      <c r="AI20" s="37" t="n">
        <f aca="false">SQRT(SUMXMY2($B20:$E20,$B63:$E63))</f>
        <v>3.06169755977701</v>
      </c>
      <c r="AJ20" s="37" t="n">
        <f aca="false">SQRT(SUMXMY2($B20:$E20,$B64:$E64))</f>
        <v>4.5532897909024</v>
      </c>
      <c r="AK20" s="37" t="n">
        <f aca="false">SQRT(SUMXMY2($B20:$E20,$B65:$E65))</f>
        <v>1.15446742895255</v>
      </c>
      <c r="AL20" s="36" t="n">
        <f aca="false">MATCH(MIN(AI20:AK20),AI20:AK20,0)</f>
        <v>3</v>
      </c>
      <c r="AM20" s="37" t="n">
        <f aca="false">INDEX(AI20:AK20,AL20)</f>
        <v>1.15446742895255</v>
      </c>
    </row>
    <row r="21" customFormat="false" ht="15" hidden="false" customHeight="false" outlineLevel="0" collapsed="false">
      <c r="A21" s="19" t="str">
        <f aca="false">Features!A21</f>
        <v>Other</v>
      </c>
      <c r="B21" s="35" t="n">
        <f aca="false">Features!I21</f>
        <v>0.484608787060768</v>
      </c>
      <c r="C21" s="35" t="n">
        <f aca="false">Features!J21</f>
        <v>-0.510197811923372</v>
      </c>
      <c r="D21" s="35" t="n">
        <f aca="false">Features!K21</f>
        <v>-0.713906440274878</v>
      </c>
      <c r="E21" s="35" t="n">
        <f aca="false">Features!L21</f>
        <v>-0.312094494837018</v>
      </c>
      <c r="F21" s="36" t="n">
        <f aca="false">AL21</f>
        <v>3</v>
      </c>
      <c r="G21" s="37" t="n">
        <f aca="false">SQRT(SUMXMY2($B21:$E21,$B28:$E28))</f>
        <v>1.83689567114722</v>
      </c>
      <c r="H21" s="37" t="n">
        <f aca="false">SQRT(SUMXMY2($B21:$E21,$B29:$E29))</f>
        <v>5.26219723490718</v>
      </c>
      <c r="I21" s="37" t="n">
        <f aca="false">SQRT(SUMXMY2($B21:$E21,$B30:$E30))</f>
        <v>1.61898260718412</v>
      </c>
      <c r="J21" s="36" t="n">
        <f aca="false">MATCH(MIN(G21:I21),G21:I21,0)</f>
        <v>3</v>
      </c>
      <c r="K21" s="37" t="n">
        <f aca="false">SQRT(SUMXMY2($B21:$E21,$B33:$E33))</f>
        <v>1.31887936411875</v>
      </c>
      <c r="L21" s="37" t="n">
        <f aca="false">SQRT(SUMXMY2($B21:$E21,$B34:$E34))</f>
        <v>4.66888773106442</v>
      </c>
      <c r="M21" s="37" t="n">
        <f aca="false">SQRT(SUMXMY2($B21:$E21,$B35:$E35))</f>
        <v>0.962765321329308</v>
      </c>
      <c r="N21" s="36" t="n">
        <f aca="false">MATCH(MIN(K21:M21),K21:M21,0)</f>
        <v>3</v>
      </c>
      <c r="O21" s="37" t="n">
        <f aca="false">SQRT(SUMXMY2($B21:$E21,$B38:$E38))</f>
        <v>1.31887936411875</v>
      </c>
      <c r="P21" s="37" t="n">
        <f aca="false">SQRT(SUMXMY2($B21:$E21,$B39:$E39))</f>
        <v>4.66888773106442</v>
      </c>
      <c r="Q21" s="37" t="n">
        <f aca="false">SQRT(SUMXMY2($B21:$E21,$B40:$E40))</f>
        <v>0.962765321329308</v>
      </c>
      <c r="R21" s="36" t="n">
        <f aca="false">MATCH(MIN(O21:Q21),O21:Q21,0)</f>
        <v>3</v>
      </c>
      <c r="S21" s="37" t="n">
        <f aca="false">SQRT(SUMXMY2($B21:$E21,$B43:$E43))</f>
        <v>1.31887936411875</v>
      </c>
      <c r="T21" s="37" t="n">
        <f aca="false">SQRT(SUMXMY2($B21:$E21,$B44:$E44))</f>
        <v>4.66888773106442</v>
      </c>
      <c r="U21" s="37" t="n">
        <f aca="false">SQRT(SUMXMY2($B21:$E21,$B45:$E45))</f>
        <v>0.962765321329308</v>
      </c>
      <c r="V21" s="36" t="n">
        <f aca="false">MATCH(MIN(S21:U21),S21:U21,0)</f>
        <v>3</v>
      </c>
      <c r="W21" s="37" t="n">
        <f aca="false">SQRT(SUMXMY2($B21:$E21,$B48:$E48))</f>
        <v>1.31887936411875</v>
      </c>
      <c r="X21" s="37" t="n">
        <f aca="false">SQRT(SUMXMY2($B21:$E21,$B49:$E49))</f>
        <v>4.66888773106442</v>
      </c>
      <c r="Y21" s="37" t="n">
        <f aca="false">SQRT(SUMXMY2($B21:$E21,$B50:$E50))</f>
        <v>0.962765321329308</v>
      </c>
      <c r="Z21" s="36" t="n">
        <f aca="false">MATCH(MIN(W21:Y21),W21:Y21,0)</f>
        <v>3</v>
      </c>
      <c r="AA21" s="37" t="n">
        <f aca="false">SQRT(SUMXMY2($B21:$E21,$B53:$E53))</f>
        <v>1.31887936411875</v>
      </c>
      <c r="AB21" s="37" t="n">
        <f aca="false">SQRT(SUMXMY2($B21:$E21,$B54:$E54))</f>
        <v>4.66888773106442</v>
      </c>
      <c r="AC21" s="37" t="n">
        <f aca="false">SQRT(SUMXMY2($B21:$E21,$B55:$E55))</f>
        <v>0.962765321329308</v>
      </c>
      <c r="AD21" s="36" t="n">
        <f aca="false">MATCH(MIN(AA21:AC21),AA21:AC21,0)</f>
        <v>3</v>
      </c>
      <c r="AE21" s="37" t="n">
        <f aca="false">SQRT(SUMXMY2($B21:$E21,$B58:$E58))</f>
        <v>1.31887936411875</v>
      </c>
      <c r="AF21" s="37" t="n">
        <f aca="false">SQRT(SUMXMY2($B21:$E21,$B59:$E59))</f>
        <v>4.66888773106442</v>
      </c>
      <c r="AG21" s="37" t="n">
        <f aca="false">SQRT(SUMXMY2($B21:$E21,$B60:$E60))</f>
        <v>0.962765321329308</v>
      </c>
      <c r="AH21" s="36" t="n">
        <f aca="false">MATCH(MIN(AE21:AG21),AE21:AG21,0)</f>
        <v>3</v>
      </c>
      <c r="AI21" s="37" t="n">
        <f aca="false">SQRT(SUMXMY2($B21:$E21,$B63:$E63))</f>
        <v>1.31887936411875</v>
      </c>
      <c r="AJ21" s="37" t="n">
        <f aca="false">SQRT(SUMXMY2($B21:$E21,$B64:$E64))</f>
        <v>4.66888773106442</v>
      </c>
      <c r="AK21" s="37" t="n">
        <f aca="false">SQRT(SUMXMY2($B21:$E21,$B65:$E65))</f>
        <v>0.962765321329308</v>
      </c>
      <c r="AL21" s="36" t="n">
        <f aca="false">MATCH(MIN(AI21:AK21),AI21:AK21,0)</f>
        <v>3</v>
      </c>
      <c r="AM21" s="37" t="n">
        <f aca="false">INDEX(AI21:AK21,AL21)</f>
        <v>0.962765321329308</v>
      </c>
    </row>
    <row r="27" customFormat="false" ht="23.85" hidden="false" customHeight="false" outlineLevel="0" collapsed="false">
      <c r="A27" s="26" t="s">
        <v>152</v>
      </c>
      <c r="B27" s="5" t="s">
        <v>96</v>
      </c>
      <c r="C27" s="5" t="s">
        <v>97</v>
      </c>
      <c r="D27" s="5" t="s">
        <v>98</v>
      </c>
      <c r="E27" s="5" t="s">
        <v>99</v>
      </c>
    </row>
    <row r="28" customFormat="false" ht="15" hidden="false" customHeight="false" outlineLevel="0" collapsed="false">
      <c r="A28" s="2" t="s">
        <v>153</v>
      </c>
      <c r="B28" s="23" t="n">
        <f aca="false">INDEX(B$6:B$21,MATCH(Inputs!$B$4,$A$6:$A$21,0))</f>
        <v>2.22821656278526</v>
      </c>
      <c r="C28" s="23" t="n">
        <f aca="false">INDEX(C$6:C$21,MATCH(Inputs!$B$4,$A$6:$A$21,0))</f>
        <v>-0.723945273197262</v>
      </c>
      <c r="D28" s="23" t="n">
        <f aca="false">INDEX(D$6:D$21,MATCH(Inputs!$B$4,$A$6:$A$21,0))</f>
        <v>-0.193926958061699</v>
      </c>
      <c r="E28" s="23" t="n">
        <f aca="false">INDEX(E$6:E$21,MATCH(Inputs!$B$4,$A$6:$A$21,0))</f>
        <v>-0.446075806924889</v>
      </c>
    </row>
    <row r="29" customFormat="false" ht="15" hidden="false" customHeight="false" outlineLevel="0" collapsed="false">
      <c r="A29" s="2" t="s">
        <v>154</v>
      </c>
      <c r="B29" s="23" t="n">
        <f aca="false">INDEX(B$6:B$21,MATCH(Inputs!$B$5,$A$6:$A$21,0))</f>
        <v>-0.324953910749598</v>
      </c>
      <c r="C29" s="23" t="n">
        <f aca="false">INDEX(C$6:C$21,MATCH(Inputs!$B$5,$A$6:$A$21,0))</f>
        <v>3.12328567815359</v>
      </c>
      <c r="D29" s="23" t="n">
        <f aca="false">INDEX(D$6:D$21,MATCH(Inputs!$B$5,$A$6:$A$21,0))</f>
        <v>2.24113764879651</v>
      </c>
      <c r="E29" s="23" t="n">
        <f aca="false">INDEX(E$6:E$21,MATCH(Inputs!$B$5,$A$6:$A$21,0))</f>
        <v>1.94640946494725</v>
      </c>
    </row>
    <row r="30" customFormat="false" ht="15" hidden="false" customHeight="false" outlineLevel="0" collapsed="false">
      <c r="A30" s="2" t="s">
        <v>155</v>
      </c>
      <c r="B30" s="23" t="n">
        <f aca="false">INDEX(B$6:B$21,MATCH(Inputs!$B$6,$A$6:$A$21,0))</f>
        <v>-0.723240091183966</v>
      </c>
      <c r="C30" s="23" t="n">
        <f aca="false">INDEX(C$6:C$21,MATCH(Inputs!$B$6,$A$6:$A$21,0))</f>
        <v>-0.359500339984696</v>
      </c>
      <c r="D30" s="23" t="n">
        <f aca="false">INDEX(D$6:D$21,MATCH(Inputs!$B$6,$A$6:$A$21,0))</f>
        <v>0.109780796345887</v>
      </c>
      <c r="E30" s="23" t="n">
        <f aca="false">INDEX(E$6:E$21,MATCH(Inputs!$B$6,$A$6:$A$21,0))</f>
        <v>-0.991090354814803</v>
      </c>
    </row>
    <row r="32" customFormat="false" ht="23.85" hidden="false" customHeight="false" outlineLevel="0" collapsed="false">
      <c r="A32" s="26" t="s">
        <v>156</v>
      </c>
      <c r="B32" s="5" t="s">
        <v>96</v>
      </c>
      <c r="C32" s="5" t="s">
        <v>97</v>
      </c>
      <c r="D32" s="5" t="s">
        <v>98</v>
      </c>
      <c r="E32" s="5" t="s">
        <v>99</v>
      </c>
    </row>
    <row r="33" customFormat="false" ht="15" hidden="false" customHeight="false" outlineLevel="0" collapsed="false">
      <c r="A33" s="2" t="s">
        <v>153</v>
      </c>
      <c r="B33" s="23" t="n">
        <f aca="false">IFERROR(AVERAGEIF($J$6:$J$21,1,B$6:B$21),B28)</f>
        <v>1.72263706860504</v>
      </c>
      <c r="C33" s="23" t="n">
        <f aca="false">IFERROR(AVERAGEIF($J$6:$J$21,1,C$6:C$21),C28)</f>
        <v>-0.192784410796256</v>
      </c>
      <c r="D33" s="23" t="n">
        <f aca="false">IFERROR(AVERAGEIF($J$6:$J$21,1,D$6:D$21),D28)</f>
        <v>-0.628135395431238</v>
      </c>
      <c r="E33" s="23" t="n">
        <f aca="false">IFERROR(AVERAGEIF($J$6:$J$21,1,E$6:E$21),E28)</f>
        <v>0.00194501198682917</v>
      </c>
    </row>
    <row r="34" customFormat="false" ht="15" hidden="false" customHeight="false" outlineLevel="0" collapsed="false">
      <c r="A34" s="2" t="s">
        <v>154</v>
      </c>
      <c r="B34" s="23" t="n">
        <f aca="false">IFERROR(AVERAGEIF($J$6:$J$21,2,B$6:B$21),B29)</f>
        <v>-0.912869601017056</v>
      </c>
      <c r="C34" s="23" t="n">
        <f aca="false">IFERROR(AVERAGEIF($J$6:$J$21,2,C$6:C$21),C29)</f>
        <v>2.04482699430039</v>
      </c>
      <c r="D34" s="23" t="n">
        <f aca="false">IFERROR(AVERAGEIF($J$6:$J$21,2,D$6:D$21),D29)</f>
        <v>2.04096898383071</v>
      </c>
      <c r="E34" s="23" t="n">
        <f aca="false">IFERROR(AVERAGEIF($J$6:$J$21,2,E$6:E$21),E29)</f>
        <v>2.0812455222478</v>
      </c>
    </row>
    <row r="35" customFormat="false" ht="15" hidden="false" customHeight="false" outlineLevel="0" collapsed="false">
      <c r="A35" s="2" t="s">
        <v>155</v>
      </c>
      <c r="B35" s="23" t="n">
        <f aca="false">IFERROR(AVERAGEIF($J$6:$J$21,3,B$6:B$21),B30)</f>
        <v>-0.303833818525547</v>
      </c>
      <c r="C35" s="23" t="n">
        <f aca="false">IFERROR(AVERAGEIF($J$6:$J$21,3,C$6:C$21),C30)</f>
        <v>-0.319209159655637</v>
      </c>
      <c r="D35" s="23" t="n">
        <f aca="false">IFERROR(AVERAGEIF($J$6:$J$21,3,D$6:D$21),D30)</f>
        <v>-0.199775616487974</v>
      </c>
      <c r="E35" s="23" t="n">
        <f aca="false">IFERROR(AVERAGEIF($J$6:$J$21,3,E$6:E$21),E30)</f>
        <v>-0.378938734586917</v>
      </c>
    </row>
    <row r="37" customFormat="false" ht="23.85" hidden="false" customHeight="false" outlineLevel="0" collapsed="false">
      <c r="A37" s="26" t="s">
        <v>157</v>
      </c>
      <c r="B37" s="5" t="s">
        <v>96</v>
      </c>
      <c r="C37" s="5" t="s">
        <v>97</v>
      </c>
      <c r="D37" s="5" t="s">
        <v>98</v>
      </c>
      <c r="E37" s="5" t="s">
        <v>99</v>
      </c>
    </row>
    <row r="38" customFormat="false" ht="15" hidden="false" customHeight="false" outlineLevel="0" collapsed="false">
      <c r="A38" s="2" t="s">
        <v>153</v>
      </c>
      <c r="B38" s="23" t="n">
        <f aca="false">IFERROR(AVERAGEIF($N$6:$N$21,1,B$6:B$21),B33)</f>
        <v>1.72263706860504</v>
      </c>
      <c r="C38" s="23" t="n">
        <f aca="false">IFERROR(AVERAGEIF($N$6:$N$21,1,C$6:C$21),C33)</f>
        <v>-0.192784410796256</v>
      </c>
      <c r="D38" s="23" t="n">
        <f aca="false">IFERROR(AVERAGEIF($N$6:$N$21,1,D$6:D$21),D33)</f>
        <v>-0.628135395431238</v>
      </c>
      <c r="E38" s="23" t="n">
        <f aca="false">IFERROR(AVERAGEIF($N$6:$N$21,1,E$6:E$21),E33)</f>
        <v>0.00194501198682917</v>
      </c>
    </row>
    <row r="39" customFormat="false" ht="15" hidden="false" customHeight="false" outlineLevel="0" collapsed="false">
      <c r="A39" s="2" t="s">
        <v>154</v>
      </c>
      <c r="B39" s="23" t="n">
        <f aca="false">IFERROR(AVERAGEIF($N$6:$N$21,2,B$6:B$21),B34)</f>
        <v>-0.912869601017056</v>
      </c>
      <c r="C39" s="23" t="n">
        <f aca="false">IFERROR(AVERAGEIF($N$6:$N$21,2,C$6:C$21),C34)</f>
        <v>2.04482699430039</v>
      </c>
      <c r="D39" s="23" t="n">
        <f aca="false">IFERROR(AVERAGEIF($N$6:$N$21,2,D$6:D$21),D34)</f>
        <v>2.04096898383071</v>
      </c>
      <c r="E39" s="23" t="n">
        <f aca="false">IFERROR(AVERAGEIF($N$6:$N$21,2,E$6:E$21),E34)</f>
        <v>2.0812455222478</v>
      </c>
    </row>
    <row r="40" customFormat="false" ht="15" hidden="false" customHeight="false" outlineLevel="0" collapsed="false">
      <c r="A40" s="2" t="s">
        <v>155</v>
      </c>
      <c r="B40" s="23" t="n">
        <f aca="false">IFERROR(AVERAGEIF($N$6:$N$21,3,B$6:B$21),B35)</f>
        <v>-0.303833818525547</v>
      </c>
      <c r="C40" s="23" t="n">
        <f aca="false">IFERROR(AVERAGEIF($N$6:$N$21,3,C$6:C$21),C35)</f>
        <v>-0.319209159655637</v>
      </c>
      <c r="D40" s="23" t="n">
        <f aca="false">IFERROR(AVERAGEIF($N$6:$N$21,3,D$6:D$21),D35)</f>
        <v>-0.199775616487974</v>
      </c>
      <c r="E40" s="23" t="n">
        <f aca="false">IFERROR(AVERAGEIF($N$6:$N$21,3,E$6:E$21),E35)</f>
        <v>-0.378938734586917</v>
      </c>
    </row>
    <row r="42" customFormat="false" ht="23.85" hidden="false" customHeight="false" outlineLevel="0" collapsed="false">
      <c r="A42" s="26" t="s">
        <v>158</v>
      </c>
      <c r="B42" s="5" t="s">
        <v>96</v>
      </c>
      <c r="C42" s="5" t="s">
        <v>97</v>
      </c>
      <c r="D42" s="5" t="s">
        <v>98</v>
      </c>
      <c r="E42" s="5" t="s">
        <v>99</v>
      </c>
    </row>
    <row r="43" customFormat="false" ht="15" hidden="false" customHeight="false" outlineLevel="0" collapsed="false">
      <c r="A43" s="2" t="s">
        <v>153</v>
      </c>
      <c r="B43" s="23" t="n">
        <f aca="false">IFERROR(AVERAGEIF($R$6:$R$21,1,B$6:B$21),B38)</f>
        <v>1.72263706860504</v>
      </c>
      <c r="C43" s="23" t="n">
        <f aca="false">IFERROR(AVERAGEIF($R$6:$R$21,1,C$6:C$21),C38)</f>
        <v>-0.192784410796256</v>
      </c>
      <c r="D43" s="23" t="n">
        <f aca="false">IFERROR(AVERAGEIF($R$6:$R$21,1,D$6:D$21),D38)</f>
        <v>-0.628135395431238</v>
      </c>
      <c r="E43" s="23" t="n">
        <f aca="false">IFERROR(AVERAGEIF($R$6:$R$21,1,E$6:E$21),E38)</f>
        <v>0.00194501198682917</v>
      </c>
    </row>
    <row r="44" customFormat="false" ht="15" hidden="false" customHeight="false" outlineLevel="0" collapsed="false">
      <c r="A44" s="2" t="s">
        <v>154</v>
      </c>
      <c r="B44" s="23" t="n">
        <f aca="false">IFERROR(AVERAGEIF($R$6:$R$21,2,B$6:B$21),B39)</f>
        <v>-0.912869601017056</v>
      </c>
      <c r="C44" s="23" t="n">
        <f aca="false">IFERROR(AVERAGEIF($R$6:$R$21,2,C$6:C$21),C39)</f>
        <v>2.04482699430039</v>
      </c>
      <c r="D44" s="23" t="n">
        <f aca="false">IFERROR(AVERAGEIF($R$6:$R$21,2,D$6:D$21),D39)</f>
        <v>2.04096898383071</v>
      </c>
      <c r="E44" s="23" t="n">
        <f aca="false">IFERROR(AVERAGEIF($R$6:$R$21,2,E$6:E$21),E39)</f>
        <v>2.0812455222478</v>
      </c>
    </row>
    <row r="45" customFormat="false" ht="15" hidden="false" customHeight="false" outlineLevel="0" collapsed="false">
      <c r="A45" s="2" t="s">
        <v>155</v>
      </c>
      <c r="B45" s="23" t="n">
        <f aca="false">IFERROR(AVERAGEIF($R$6:$R$21,3,B$6:B$21),B40)</f>
        <v>-0.303833818525547</v>
      </c>
      <c r="C45" s="23" t="n">
        <f aca="false">IFERROR(AVERAGEIF($R$6:$R$21,3,C$6:C$21),C40)</f>
        <v>-0.319209159655637</v>
      </c>
      <c r="D45" s="23" t="n">
        <f aca="false">IFERROR(AVERAGEIF($R$6:$R$21,3,D$6:D$21),D40)</f>
        <v>-0.199775616487974</v>
      </c>
      <c r="E45" s="23" t="n">
        <f aca="false">IFERROR(AVERAGEIF($R$6:$R$21,3,E$6:E$21),E40)</f>
        <v>-0.378938734586917</v>
      </c>
    </row>
    <row r="47" customFormat="false" ht="23.85" hidden="false" customHeight="false" outlineLevel="0" collapsed="false">
      <c r="A47" s="26" t="s">
        <v>159</v>
      </c>
      <c r="B47" s="5" t="s">
        <v>96</v>
      </c>
      <c r="C47" s="5" t="s">
        <v>97</v>
      </c>
      <c r="D47" s="5" t="s">
        <v>98</v>
      </c>
      <c r="E47" s="5" t="s">
        <v>99</v>
      </c>
    </row>
    <row r="48" customFormat="false" ht="15" hidden="false" customHeight="false" outlineLevel="0" collapsed="false">
      <c r="A48" s="2" t="s">
        <v>153</v>
      </c>
      <c r="B48" s="23" t="n">
        <f aca="false">IFERROR(AVERAGEIF($V$6:$V$21,1,B$6:B$21),B43)</f>
        <v>1.72263706860504</v>
      </c>
      <c r="C48" s="23" t="n">
        <f aca="false">IFERROR(AVERAGEIF($V$6:$V$21,1,C$6:C$21),C43)</f>
        <v>-0.192784410796256</v>
      </c>
      <c r="D48" s="23" t="n">
        <f aca="false">IFERROR(AVERAGEIF($V$6:$V$21,1,D$6:D$21),D43)</f>
        <v>-0.628135395431238</v>
      </c>
      <c r="E48" s="23" t="n">
        <f aca="false">IFERROR(AVERAGEIF($V$6:$V$21,1,E$6:E$21),E43)</f>
        <v>0.00194501198682917</v>
      </c>
    </row>
    <row r="49" customFormat="false" ht="15" hidden="false" customHeight="false" outlineLevel="0" collapsed="false">
      <c r="A49" s="2" t="s">
        <v>154</v>
      </c>
      <c r="B49" s="23" t="n">
        <f aca="false">IFERROR(AVERAGEIF($V$6:$V$21,2,B$6:B$21),B44)</f>
        <v>-0.912869601017056</v>
      </c>
      <c r="C49" s="23" t="n">
        <f aca="false">IFERROR(AVERAGEIF($V$6:$V$21,2,C$6:C$21),C44)</f>
        <v>2.04482699430039</v>
      </c>
      <c r="D49" s="23" t="n">
        <f aca="false">IFERROR(AVERAGEIF($V$6:$V$21,2,D$6:D$21),D44)</f>
        <v>2.04096898383071</v>
      </c>
      <c r="E49" s="23" t="n">
        <f aca="false">IFERROR(AVERAGEIF($V$6:$V$21,2,E$6:E$21),E44)</f>
        <v>2.0812455222478</v>
      </c>
    </row>
    <row r="50" customFormat="false" ht="15" hidden="false" customHeight="false" outlineLevel="0" collapsed="false">
      <c r="A50" s="2" t="s">
        <v>155</v>
      </c>
      <c r="B50" s="23" t="n">
        <f aca="false">IFERROR(AVERAGEIF($V$6:$V$21,3,B$6:B$21),B45)</f>
        <v>-0.303833818525547</v>
      </c>
      <c r="C50" s="23" t="n">
        <f aca="false">IFERROR(AVERAGEIF($V$6:$V$21,3,C$6:C$21),C45)</f>
        <v>-0.319209159655637</v>
      </c>
      <c r="D50" s="23" t="n">
        <f aca="false">IFERROR(AVERAGEIF($V$6:$V$21,3,D$6:D$21),D45)</f>
        <v>-0.199775616487974</v>
      </c>
      <c r="E50" s="23" t="n">
        <f aca="false">IFERROR(AVERAGEIF($V$6:$V$21,3,E$6:E$21),E45)</f>
        <v>-0.378938734586917</v>
      </c>
    </row>
    <row r="52" customFormat="false" ht="23.85" hidden="false" customHeight="false" outlineLevel="0" collapsed="false">
      <c r="A52" s="26" t="s">
        <v>160</v>
      </c>
      <c r="B52" s="5" t="s">
        <v>96</v>
      </c>
      <c r="C52" s="5" t="s">
        <v>97</v>
      </c>
      <c r="D52" s="5" t="s">
        <v>98</v>
      </c>
      <c r="E52" s="5" t="s">
        <v>99</v>
      </c>
    </row>
    <row r="53" customFormat="false" ht="15" hidden="false" customHeight="false" outlineLevel="0" collapsed="false">
      <c r="A53" s="2" t="s">
        <v>153</v>
      </c>
      <c r="B53" s="23" t="n">
        <f aca="false">IFERROR(AVERAGEIF($Z$6:$Z$21,1,B$6:B$21),B48)</f>
        <v>1.72263706860504</v>
      </c>
      <c r="C53" s="23" t="n">
        <f aca="false">IFERROR(AVERAGEIF($Z$6:$Z$21,1,C$6:C$21),C48)</f>
        <v>-0.192784410796256</v>
      </c>
      <c r="D53" s="23" t="n">
        <f aca="false">IFERROR(AVERAGEIF($Z$6:$Z$21,1,D$6:D$21),D48)</f>
        <v>-0.628135395431238</v>
      </c>
      <c r="E53" s="23" t="n">
        <f aca="false">IFERROR(AVERAGEIF($Z$6:$Z$21,1,E$6:E$21),E48)</f>
        <v>0.00194501198682917</v>
      </c>
    </row>
    <row r="54" customFormat="false" ht="15" hidden="false" customHeight="false" outlineLevel="0" collapsed="false">
      <c r="A54" s="2" t="s">
        <v>154</v>
      </c>
      <c r="B54" s="23" t="n">
        <f aca="false">IFERROR(AVERAGEIF($Z$6:$Z$21,2,B$6:B$21),B49)</f>
        <v>-0.912869601017056</v>
      </c>
      <c r="C54" s="23" t="n">
        <f aca="false">IFERROR(AVERAGEIF($Z$6:$Z$21,2,C$6:C$21),C49)</f>
        <v>2.04482699430039</v>
      </c>
      <c r="D54" s="23" t="n">
        <f aca="false">IFERROR(AVERAGEIF($Z$6:$Z$21,2,D$6:D$21),D49)</f>
        <v>2.04096898383071</v>
      </c>
      <c r="E54" s="23" t="n">
        <f aca="false">IFERROR(AVERAGEIF($Z$6:$Z$21,2,E$6:E$21),E49)</f>
        <v>2.0812455222478</v>
      </c>
    </row>
    <row r="55" customFormat="false" ht="15" hidden="false" customHeight="false" outlineLevel="0" collapsed="false">
      <c r="A55" s="2" t="s">
        <v>155</v>
      </c>
      <c r="B55" s="23" t="n">
        <f aca="false">IFERROR(AVERAGEIF($Z$6:$Z$21,3,B$6:B$21),B50)</f>
        <v>-0.303833818525547</v>
      </c>
      <c r="C55" s="23" t="n">
        <f aca="false">IFERROR(AVERAGEIF($Z$6:$Z$21,3,C$6:C$21),C50)</f>
        <v>-0.319209159655637</v>
      </c>
      <c r="D55" s="23" t="n">
        <f aca="false">IFERROR(AVERAGEIF($Z$6:$Z$21,3,D$6:D$21),D50)</f>
        <v>-0.199775616487974</v>
      </c>
      <c r="E55" s="23" t="n">
        <f aca="false">IFERROR(AVERAGEIF($Z$6:$Z$21,3,E$6:E$21),E50)</f>
        <v>-0.378938734586917</v>
      </c>
    </row>
    <row r="57" customFormat="false" ht="23.85" hidden="false" customHeight="false" outlineLevel="0" collapsed="false">
      <c r="A57" s="26" t="s">
        <v>161</v>
      </c>
      <c r="B57" s="5" t="s">
        <v>96</v>
      </c>
      <c r="C57" s="5" t="s">
        <v>97</v>
      </c>
      <c r="D57" s="5" t="s">
        <v>98</v>
      </c>
      <c r="E57" s="5" t="s">
        <v>99</v>
      </c>
    </row>
    <row r="58" customFormat="false" ht="15" hidden="false" customHeight="false" outlineLevel="0" collapsed="false">
      <c r="A58" s="2" t="s">
        <v>153</v>
      </c>
      <c r="B58" s="23" t="n">
        <f aca="false">IFERROR(AVERAGEIF($AD$6:$AD$21,1,B$6:B$21),B53)</f>
        <v>1.72263706860504</v>
      </c>
      <c r="C58" s="23" t="n">
        <f aca="false">IFERROR(AVERAGEIF($AD$6:$AD$21,1,C$6:C$21),C53)</f>
        <v>-0.192784410796256</v>
      </c>
      <c r="D58" s="23" t="n">
        <f aca="false">IFERROR(AVERAGEIF($AD$6:$AD$21,1,D$6:D$21),D53)</f>
        <v>-0.628135395431238</v>
      </c>
      <c r="E58" s="23" t="n">
        <f aca="false">IFERROR(AVERAGEIF($AD$6:$AD$21,1,E$6:E$21),E53)</f>
        <v>0.00194501198682917</v>
      </c>
    </row>
    <row r="59" customFormat="false" ht="15" hidden="false" customHeight="false" outlineLevel="0" collapsed="false">
      <c r="A59" s="2" t="s">
        <v>154</v>
      </c>
      <c r="B59" s="23" t="n">
        <f aca="false">IFERROR(AVERAGEIF($AD$6:$AD$21,2,B$6:B$21),B54)</f>
        <v>-0.912869601017056</v>
      </c>
      <c r="C59" s="23" t="n">
        <f aca="false">IFERROR(AVERAGEIF($AD$6:$AD$21,2,C$6:C$21),C54)</f>
        <v>2.04482699430039</v>
      </c>
      <c r="D59" s="23" t="n">
        <f aca="false">IFERROR(AVERAGEIF($AD$6:$AD$21,2,D$6:D$21),D54)</f>
        <v>2.04096898383071</v>
      </c>
      <c r="E59" s="23" t="n">
        <f aca="false">IFERROR(AVERAGEIF($AD$6:$AD$21,2,E$6:E$21),E54)</f>
        <v>2.0812455222478</v>
      </c>
    </row>
    <row r="60" customFormat="false" ht="15" hidden="false" customHeight="false" outlineLevel="0" collapsed="false">
      <c r="A60" s="2" t="s">
        <v>155</v>
      </c>
      <c r="B60" s="23" t="n">
        <f aca="false">IFERROR(AVERAGEIF($AD$6:$AD$21,3,B$6:B$21),B55)</f>
        <v>-0.303833818525547</v>
      </c>
      <c r="C60" s="23" t="n">
        <f aca="false">IFERROR(AVERAGEIF($AD$6:$AD$21,3,C$6:C$21),C55)</f>
        <v>-0.319209159655637</v>
      </c>
      <c r="D60" s="23" t="n">
        <f aca="false">IFERROR(AVERAGEIF($AD$6:$AD$21,3,D$6:D$21),D55)</f>
        <v>-0.199775616487974</v>
      </c>
      <c r="E60" s="23" t="n">
        <f aca="false">IFERROR(AVERAGEIF($AD$6:$AD$21,3,E$6:E$21),E55)</f>
        <v>-0.378938734586917</v>
      </c>
    </row>
    <row r="62" customFormat="false" ht="23.85" hidden="false" customHeight="false" outlineLevel="0" collapsed="false">
      <c r="A62" s="26" t="s">
        <v>162</v>
      </c>
      <c r="B62" s="5" t="s">
        <v>96</v>
      </c>
      <c r="C62" s="5" t="s">
        <v>97</v>
      </c>
      <c r="D62" s="5" t="s">
        <v>98</v>
      </c>
      <c r="E62" s="5" t="s">
        <v>99</v>
      </c>
    </row>
    <row r="63" customFormat="false" ht="15" hidden="false" customHeight="false" outlineLevel="0" collapsed="false">
      <c r="A63" s="2" t="s">
        <v>153</v>
      </c>
      <c r="B63" s="23" t="n">
        <f aca="false">IFERROR(AVERAGEIF($AH$6:$AH$21,1,B$6:B$21),B58)</f>
        <v>1.72263706860504</v>
      </c>
      <c r="C63" s="23" t="n">
        <f aca="false">IFERROR(AVERAGEIF($AH$6:$AH$21,1,C$6:C$21),C58)</f>
        <v>-0.192784410796256</v>
      </c>
      <c r="D63" s="23" t="n">
        <f aca="false">IFERROR(AVERAGEIF($AH$6:$AH$21,1,D$6:D$21),D58)</f>
        <v>-0.628135395431238</v>
      </c>
      <c r="E63" s="23" t="n">
        <f aca="false">IFERROR(AVERAGEIF($AH$6:$AH$21,1,E$6:E$21),E58)</f>
        <v>0.00194501198682917</v>
      </c>
    </row>
    <row r="64" customFormat="false" ht="15" hidden="false" customHeight="false" outlineLevel="0" collapsed="false">
      <c r="A64" s="2" t="s">
        <v>154</v>
      </c>
      <c r="B64" s="23" t="n">
        <f aca="false">IFERROR(AVERAGEIF($AH$6:$AH$21,2,B$6:B$21),B59)</f>
        <v>-0.912869601017056</v>
      </c>
      <c r="C64" s="23" t="n">
        <f aca="false">IFERROR(AVERAGEIF($AH$6:$AH$21,2,C$6:C$21),C59)</f>
        <v>2.04482699430039</v>
      </c>
      <c r="D64" s="23" t="n">
        <f aca="false">IFERROR(AVERAGEIF($AH$6:$AH$21,2,D$6:D$21),D59)</f>
        <v>2.04096898383071</v>
      </c>
      <c r="E64" s="23" t="n">
        <f aca="false">IFERROR(AVERAGEIF($AH$6:$AH$21,2,E$6:E$21),E59)</f>
        <v>2.0812455222478</v>
      </c>
    </row>
    <row r="65" customFormat="false" ht="15" hidden="false" customHeight="false" outlineLevel="0" collapsed="false">
      <c r="A65" s="2" t="s">
        <v>155</v>
      </c>
      <c r="B65" s="23" t="n">
        <f aca="false">IFERROR(AVERAGEIF($AH$6:$AH$21,3,B$6:B$21),B60)</f>
        <v>-0.303833818525547</v>
      </c>
      <c r="C65" s="23" t="n">
        <f aca="false">IFERROR(AVERAGEIF($AH$6:$AH$21,3,C$6:C$21),C60)</f>
        <v>-0.319209159655637</v>
      </c>
      <c r="D65" s="23" t="n">
        <f aca="false">IFERROR(AVERAGEIF($AH$6:$AH$21,3,D$6:D$21),D60)</f>
        <v>-0.199775616487974</v>
      </c>
      <c r="E65" s="23" t="n">
        <f aca="false">IFERROR(AVERAGEIF($AH$6:$AH$21,3,E$6:E$21),E60)</f>
        <v>-0.378938734586917</v>
      </c>
    </row>
    <row r="68" customFormat="false" ht="15" hidden="false" customHeight="false" outlineLevel="0" collapsed="false">
      <c r="A68" s="26" t="s">
        <v>106</v>
      </c>
    </row>
    <row r="69" customFormat="false" ht="15" hidden="false" customHeight="false" outlineLevel="0" collapsed="false">
      <c r="A69" s="3" t="s">
        <v>163</v>
      </c>
      <c r="B69" s="38" t="n">
        <f aca="false">SUMPRODUCT(--(AL6:AL21&lt;&gt;AH6:AH21))</f>
        <v>0</v>
      </c>
    </row>
    <row r="70" customFormat="false" ht="15" hidden="false" customHeight="false" outlineLevel="0" collapsed="false">
      <c r="A70" s="3" t="s">
        <v>164</v>
      </c>
      <c r="B70" s="2" t="str">
        <f aca="false">IF(B69=0,"Yes","No: add iterations")</f>
        <v>Yes</v>
      </c>
    </row>
    <row r="71" customFormat="false" ht="15" hidden="false" customHeight="false" outlineLevel="0" collapsed="false">
      <c r="A71" s="3" t="s">
        <v>165</v>
      </c>
      <c r="B71" s="39" t="n">
        <f aca="false">SUMSQ(AM6:AM21)</f>
        <v>18.6239644820226</v>
      </c>
    </row>
    <row r="73" customFormat="false" ht="23.85" hidden="false" customHeight="false" outlineLevel="0" collapsed="false">
      <c r="A73" s="5" t="s">
        <v>109</v>
      </c>
      <c r="B73" s="5" t="s">
        <v>166</v>
      </c>
      <c r="C73" s="5" t="s">
        <v>167</v>
      </c>
      <c r="D73" s="5" t="s">
        <v>168</v>
      </c>
      <c r="E73" s="5" t="s">
        <v>169</v>
      </c>
      <c r="F73" s="5" t="s">
        <v>170</v>
      </c>
    </row>
    <row r="74" customFormat="false" ht="15" hidden="false" customHeight="false" outlineLevel="0" collapsed="false">
      <c r="A74" s="36" t="n">
        <v>1</v>
      </c>
      <c r="B74" s="29" t="n">
        <f aca="false">COUNTIF($F$6:$F$21,A74)</f>
        <v>3</v>
      </c>
      <c r="C74" s="40" t="n">
        <f aca="false">IFERROR(AVERAGEIF($F$6:$F$21,$A74,Features!D$6:D$21),0)</f>
        <v>146.333333333333</v>
      </c>
      <c r="D74" s="22" t="n">
        <f aca="false">IFERROR(AVERAGEIF($F$6:$F$21,$A74,Features!F$6:F$21),0)</f>
        <v>-0.0844261218170649</v>
      </c>
      <c r="E74" s="21" t="n">
        <f aca="false">IFERROR(AVERAGEIF($F$6:$F$21,$A74,Features!G$6:G$21),0)</f>
        <v>0.141643080759171</v>
      </c>
      <c r="F74" s="23" t="n">
        <f aca="false">IFERROR(AVERAGEIF($F$6:$F$21,$A74,Features!H$6:H$21),0)</f>
        <v>-0.0191700873933267</v>
      </c>
    </row>
    <row r="75" customFormat="false" ht="15" hidden="false" customHeight="false" outlineLevel="0" collapsed="false">
      <c r="A75" s="36" t="n">
        <v>2</v>
      </c>
      <c r="B75" s="29" t="n">
        <f aca="false">COUNTIF($F$6:$F$21,A75)</f>
        <v>2</v>
      </c>
      <c r="C75" s="40" t="n">
        <f aca="false">IFERROR(AVERAGEIF($F$6:$F$21,$A75,Features!D$6:D$21),0)</f>
        <v>47.5</v>
      </c>
      <c r="D75" s="22" t="n">
        <f aca="false">IFERROR(AVERAGEIF($F$6:$F$21,$A75,Features!F$6:F$21),0)</f>
        <v>0.947222222222222</v>
      </c>
      <c r="E75" s="21" t="n">
        <f aca="false">IFERROR(AVERAGEIF($F$6:$F$21,$A75,Features!G$6:G$21),0)</f>
        <v>0.475</v>
      </c>
      <c r="F75" s="23" t="n">
        <f aca="false">IFERROR(AVERAGEIF($F$6:$F$21,$A75,Features!H$6:H$21),0)</f>
        <v>0.421428571428571</v>
      </c>
    </row>
    <row r="76" customFormat="false" ht="15" hidden="false" customHeight="false" outlineLevel="0" collapsed="false">
      <c r="A76" s="36" t="n">
        <v>3</v>
      </c>
      <c r="B76" s="29" t="n">
        <f aca="false">COUNTIF($F$6:$F$21,A76)</f>
        <v>11</v>
      </c>
      <c r="C76" s="40" t="n">
        <f aca="false">IFERROR(AVERAGEIF($F$6:$F$21,$A76,Features!D$6:D$21),0)</f>
        <v>38.8181818181818</v>
      </c>
      <c r="D76" s="22" t="n">
        <f aca="false">IFERROR(AVERAGEIF($F$6:$F$21,$A76,Features!F$6:F$21),0)</f>
        <v>-0.142714117002149</v>
      </c>
      <c r="E76" s="21" t="n">
        <f aca="false">IFERROR(AVERAGEIF($F$6:$F$21,$A76,Features!G$6:G$21),0)</f>
        <v>0.195142935371337</v>
      </c>
      <c r="F76" s="23" t="n">
        <f aca="false">IFERROR(AVERAGEIF($F$6:$F$21,$A76,Features!H$6:H$21),0)</f>
        <v>-0.0998784155446961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18" min="3" style="0" width="6"/>
    <col collapsed="false" customWidth="true" hidden="false" outlineLevel="0" max="25" min="19" style="0" width="12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4" t="s">
        <v>172</v>
      </c>
    </row>
    <row r="3" customFormat="false" ht="15" hidden="false" customHeight="false" outlineLevel="0" collapsed="false">
      <c r="A3" s="26" t="s">
        <v>173</v>
      </c>
    </row>
    <row r="4" customFormat="false" ht="15" hidden="false" customHeight="false" outlineLevel="0" collapsed="false">
      <c r="A4" s="2" t="s">
        <v>174</v>
      </c>
      <c r="C4" s="31" t="n">
        <f aca="false">KMeans!$F$6</f>
        <v>1</v>
      </c>
      <c r="D4" s="31" t="n">
        <f aca="false">KMeans!$F$7</f>
        <v>1</v>
      </c>
      <c r="E4" s="31" t="n">
        <f aca="false">KMeans!$F$8</f>
        <v>1</v>
      </c>
      <c r="F4" s="31" t="n">
        <f aca="false">KMeans!$F$9</f>
        <v>2</v>
      </c>
      <c r="G4" s="31" t="n">
        <f aca="false">KMeans!$F$10</f>
        <v>3</v>
      </c>
      <c r="H4" s="31" t="n">
        <f aca="false">KMeans!$F$11</f>
        <v>3</v>
      </c>
      <c r="I4" s="31" t="n">
        <f aca="false">KMeans!$F$12</f>
        <v>3</v>
      </c>
      <c r="J4" s="31" t="n">
        <f aca="false">KMeans!$F$13</f>
        <v>3</v>
      </c>
      <c r="K4" s="31" t="n">
        <f aca="false">KMeans!$F$14</f>
        <v>3</v>
      </c>
      <c r="L4" s="31" t="n">
        <f aca="false">KMeans!$F$15</f>
        <v>3</v>
      </c>
      <c r="M4" s="31" t="n">
        <f aca="false">KMeans!$F$16</f>
        <v>3</v>
      </c>
      <c r="N4" s="31" t="n">
        <f aca="false">KMeans!$F$17</f>
        <v>2</v>
      </c>
      <c r="O4" s="31" t="n">
        <f aca="false">KMeans!$F$18</f>
        <v>3</v>
      </c>
      <c r="P4" s="31" t="n">
        <f aca="false">KMeans!$F$19</f>
        <v>3</v>
      </c>
      <c r="Q4" s="31" t="n">
        <f aca="false">KMeans!$F$20</f>
        <v>3</v>
      </c>
      <c r="R4" s="31" t="n">
        <f aca="false">KMeans!$F$21</f>
        <v>3</v>
      </c>
    </row>
    <row r="5" customFormat="false" ht="60" hidden="false" customHeight="true" outlineLevel="0" collapsed="false">
      <c r="A5" s="5" t="s">
        <v>51</v>
      </c>
      <c r="B5" s="5" t="s">
        <v>175</v>
      </c>
      <c r="C5" s="41" t="str">
        <f aca="false">KMeans!A6</f>
        <v>Mining</v>
      </c>
      <c r="D5" s="41" t="str">
        <f aca="false">KMeans!A7</f>
        <v>Energy</v>
      </c>
      <c r="E5" s="41" t="str">
        <f aca="false">KMeans!A8</f>
        <v>Social infrastructure</v>
      </c>
      <c r="F5" s="41" t="str">
        <f aca="false">KMeans!A9</f>
        <v>Nuclear</v>
      </c>
      <c r="G5" s="41" t="str">
        <f aca="false">KMeans!A10</f>
        <v>Defence</v>
      </c>
      <c r="H5" s="41" t="str">
        <f aca="false">KMeans!A11</f>
        <v>Agriculture</v>
      </c>
      <c r="I5" s="41" t="str">
        <f aca="false">KMeans!A12</f>
        <v>Manufacturing</v>
      </c>
      <c r="J5" s="41" t="str">
        <f aca="false">KMeans!A13</f>
        <v>Financial services</v>
      </c>
      <c r="K5" s="41" t="str">
        <f aca="false">KMeans!A14</f>
        <v>Gaming &amp; entertainment</v>
      </c>
      <c r="L5" s="41" t="str">
        <f aca="false">KMeans!A15</f>
        <v>Chemicals &amp; pharmaceuticals</v>
      </c>
      <c r="M5" s="41" t="str">
        <f aca="false">KMeans!A16</f>
        <v>Renewables</v>
      </c>
      <c r="N5" s="41" t="str">
        <f aca="false">KMeans!A17</f>
        <v>Forestry</v>
      </c>
      <c r="O5" s="41" t="str">
        <f aca="false">KMeans!A18</f>
        <v>Transport</v>
      </c>
      <c r="P5" s="41" t="str">
        <f aca="false">KMeans!A19</f>
        <v>Technology</v>
      </c>
      <c r="Q5" s="41" t="str">
        <f aca="false">KMeans!A20</f>
        <v>Infrastructure</v>
      </c>
      <c r="R5" s="41" t="str">
        <f aca="false">KMeans!A21</f>
        <v>Other</v>
      </c>
      <c r="S5" s="5" t="s">
        <v>176</v>
      </c>
      <c r="T5" s="5" t="s">
        <v>177</v>
      </c>
      <c r="U5" s="5" t="s">
        <v>178</v>
      </c>
      <c r="V5" s="5" t="s">
        <v>179</v>
      </c>
      <c r="W5" s="5" t="s">
        <v>180</v>
      </c>
      <c r="X5" s="5" t="s">
        <v>181</v>
      </c>
      <c r="Y5" s="5" t="s">
        <v>182</v>
      </c>
    </row>
    <row r="6" customFormat="false" ht="15" hidden="false" customHeight="false" outlineLevel="0" collapsed="false">
      <c r="A6" s="19" t="str">
        <f aca="false">KMeans!A6</f>
        <v>Mining</v>
      </c>
      <c r="B6" s="28" t="n">
        <f aca="false">KMeans!F6</f>
        <v>1</v>
      </c>
      <c r="C6" s="24" t="n">
        <f aca="false">SQRT(SUMXMY2(KMeans!$B6:$E6,KMeans!$B6:$E6))</f>
        <v>0</v>
      </c>
      <c r="D6" s="24" t="n">
        <f aca="false">SQRT(SUMXMY2(KMeans!$B6:$E6,KMeans!$B7:$E7))</f>
        <v>0.973700620994259</v>
      </c>
      <c r="E6" s="24" t="n">
        <f aca="false">SQRT(SUMXMY2(KMeans!$B6:$E6,KMeans!$B8:$E8))</f>
        <v>2.1692571132161</v>
      </c>
      <c r="F6" s="24" t="n">
        <f aca="false">SQRT(SUMXMY2(KMeans!$B6:$E6,KMeans!$B9:$E9))</f>
        <v>5.74224615247908</v>
      </c>
      <c r="G6" s="24" t="n">
        <f aca="false">SQRT(SUMXMY2(KMeans!$B6:$E6,KMeans!$B10:$E10))</f>
        <v>2.90164724557785</v>
      </c>
      <c r="H6" s="24" t="n">
        <f aca="false">SQRT(SUMXMY2(KMeans!$B6:$E6,KMeans!$B11:$E11))</f>
        <v>2.51586868816359</v>
      </c>
      <c r="I6" s="24" t="n">
        <f aca="false">SQRT(SUMXMY2(KMeans!$B6:$E6,KMeans!$B12:$E12))</f>
        <v>2.84470968563456</v>
      </c>
      <c r="J6" s="24" t="n">
        <f aca="false">SQRT(SUMXMY2(KMeans!$B6:$E6,KMeans!$B13:$E13))</f>
        <v>2.22660307280321</v>
      </c>
      <c r="K6" s="24" t="n">
        <f aca="false">SQRT(SUMXMY2(KMeans!$B6:$E6,KMeans!$B14:$E14))</f>
        <v>2.50953347556882</v>
      </c>
      <c r="L6" s="24" t="n">
        <f aca="false">SQRT(SUMXMY2(KMeans!$B6:$E6,KMeans!$B15:$E15))</f>
        <v>2.47749160909251</v>
      </c>
      <c r="M6" s="24" t="n">
        <f aca="false">SQRT(SUMXMY2(KMeans!$B6:$E6,KMeans!$B16:$E16))</f>
        <v>3.54146287633919</v>
      </c>
      <c r="N6" s="24" t="n">
        <f aca="false">SQRT(SUMXMY2(KMeans!$B6:$E6,KMeans!$B17:$E17))</f>
        <v>5.29053984774068</v>
      </c>
      <c r="O6" s="24" t="n">
        <f aca="false">SQRT(SUMXMY2(KMeans!$B6:$E6,KMeans!$B18:$E18))</f>
        <v>3.00864329541005</v>
      </c>
      <c r="P6" s="24" t="n">
        <f aca="false">SQRT(SUMXMY2(KMeans!$B6:$E6,KMeans!$B19:$E19))</f>
        <v>3.0386174071611</v>
      </c>
      <c r="Q6" s="24" t="n">
        <f aca="false">SQRT(SUMXMY2(KMeans!$B6:$E6,KMeans!$B20:$E20))</f>
        <v>3.24914402729294</v>
      </c>
      <c r="R6" s="24" t="n">
        <f aca="false">SQRT(SUMXMY2(KMeans!$B6:$E6,KMeans!$B21:$E21))</f>
        <v>1.83689567114722</v>
      </c>
      <c r="S6" s="29" t="n">
        <f aca="false">COUNTIF($C$4:$R$4,$B6)</f>
        <v>3</v>
      </c>
      <c r="T6" s="37" t="n">
        <f aca="false">IF(S6&lt;=1,0,SUMIF($C$4:$R$4,$B6,$C6:$R6)/(S6-1))</f>
        <v>1.57147886710518</v>
      </c>
      <c r="U6" s="42" t="n">
        <f aca="false">IF($B6=1,1000000000,IFERROR(SUMIF($C$4:$R$4,1,$C6:$R6)/COUNTIF($C$4:$R$4,1),1000000000))</f>
        <v>1000000000</v>
      </c>
      <c r="V6" s="42" t="n">
        <f aca="false">IF($B6=2,1000000000,IFERROR(SUMIF($C$4:$R$4,2,$C6:$R6)/COUNTIF($C$4:$R$4,2),1000000000))</f>
        <v>5.51639300010988</v>
      </c>
      <c r="W6" s="42" t="n">
        <f aca="false">IF($B6=3,1000000000,IFERROR(SUMIF($C$4:$R$4,3,$C6:$R6)/COUNTIF($C$4:$R$4,3),1000000000))</f>
        <v>2.74096518674464</v>
      </c>
      <c r="X6" s="37" t="n">
        <f aca="false">MIN(U6:W6)</f>
        <v>2.74096518674464</v>
      </c>
      <c r="Y6" s="43" t="n">
        <f aca="false">IF(S6&lt;=1,0,(X6-T6)/MAX(T6,X6))</f>
        <v>0.426669526959014</v>
      </c>
    </row>
    <row r="7" customFormat="false" ht="15" hidden="false" customHeight="false" outlineLevel="0" collapsed="false">
      <c r="A7" s="19" t="str">
        <f aca="false">KMeans!A7</f>
        <v>Energy</v>
      </c>
      <c r="B7" s="28" t="n">
        <f aca="false">KMeans!F7</f>
        <v>1</v>
      </c>
      <c r="C7" s="24" t="n">
        <f aca="false">SQRT(SUMXMY2(KMeans!$B7:$E7,KMeans!$B6:$E6))</f>
        <v>0.973700620994259</v>
      </c>
      <c r="D7" s="24" t="n">
        <f aca="false">SQRT(SUMXMY2(KMeans!$B7:$E7,KMeans!$B7:$E7))</f>
        <v>0</v>
      </c>
      <c r="E7" s="24" t="n">
        <f aca="false">SQRT(SUMXMY2(KMeans!$B7:$E7,KMeans!$B8:$E8))</f>
        <v>1.7217780558587</v>
      </c>
      <c r="F7" s="24" t="n">
        <f aca="false">SQRT(SUMXMY2(KMeans!$B7:$E7,KMeans!$B9:$E9))</f>
        <v>5.75561044077871</v>
      </c>
      <c r="G7" s="24" t="n">
        <f aca="false">SQRT(SUMXMY2(KMeans!$B7:$E7,KMeans!$B10:$E10))</f>
        <v>2.4684814192373</v>
      </c>
      <c r="H7" s="24" t="n">
        <f aca="false">SQRT(SUMXMY2(KMeans!$B7:$E7,KMeans!$B11:$E11))</f>
        <v>2.45968487010282</v>
      </c>
      <c r="I7" s="24" t="n">
        <f aca="false">SQRT(SUMXMY2(KMeans!$B7:$E7,KMeans!$B12:$E12))</f>
        <v>2.28584401632885</v>
      </c>
      <c r="J7" s="24" t="n">
        <f aca="false">SQRT(SUMXMY2(KMeans!$B7:$E7,KMeans!$B13:$E13))</f>
        <v>2.06411668834288</v>
      </c>
      <c r="K7" s="24" t="n">
        <f aca="false">SQRT(SUMXMY2(KMeans!$B7:$E7,KMeans!$B14:$E14))</f>
        <v>2.31429387378216</v>
      </c>
      <c r="L7" s="24" t="n">
        <f aca="false">SQRT(SUMXMY2(KMeans!$B7:$E7,KMeans!$B15:$E15))</f>
        <v>2.65915545284857</v>
      </c>
      <c r="M7" s="24" t="n">
        <f aca="false">SQRT(SUMXMY2(KMeans!$B7:$E7,KMeans!$B16:$E16))</f>
        <v>3.69151645225735</v>
      </c>
      <c r="N7" s="24" t="n">
        <f aca="false">SQRT(SUMXMY2(KMeans!$B7:$E7,KMeans!$B17:$E17))</f>
        <v>5.33882536782854</v>
      </c>
      <c r="O7" s="24" t="n">
        <f aca="false">SQRT(SUMXMY2(KMeans!$B7:$E7,KMeans!$B18:$E18))</f>
        <v>2.98508093733102</v>
      </c>
      <c r="P7" s="24" t="n">
        <f aca="false">SQRT(SUMXMY2(KMeans!$B7:$E7,KMeans!$B19:$E19))</f>
        <v>3.06235417495461</v>
      </c>
      <c r="Q7" s="24" t="n">
        <f aca="false">SQRT(SUMXMY2(KMeans!$B7:$E7,KMeans!$B20:$E20))</f>
        <v>3.37253143338472</v>
      </c>
      <c r="R7" s="24" t="n">
        <f aca="false">SQRT(SUMXMY2(KMeans!$B7:$E7,KMeans!$B21:$E21))</f>
        <v>1.57657196862751</v>
      </c>
      <c r="S7" s="29" t="n">
        <f aca="false">COUNTIF($C$4:$R$4,$B7)</f>
        <v>3</v>
      </c>
      <c r="T7" s="37" t="n">
        <f aca="false">IF(S7&lt;=1,0,SUMIF($C$4:$R$4,$B7,$C7:$R7)/(S7-1))</f>
        <v>1.34773933842648</v>
      </c>
      <c r="U7" s="42" t="n">
        <f aca="false">IF($B7=1,1000000000,IFERROR(SUMIF($C$4:$R$4,1,$C7:$R7)/COUNTIF($C$4:$R$4,1),1000000000))</f>
        <v>1000000000</v>
      </c>
      <c r="V7" s="42" t="n">
        <f aca="false">IF($B7=2,1000000000,IFERROR(SUMIF($C$4:$R$4,2,$C7:$R7)/COUNTIF($C$4:$R$4,2),1000000000))</f>
        <v>5.54721790430363</v>
      </c>
      <c r="W7" s="42" t="n">
        <f aca="false">IF($B7=3,1000000000,IFERROR(SUMIF($C$4:$R$4,3,$C7:$R7)/COUNTIF($C$4:$R$4,3),1000000000))</f>
        <v>2.63087557156343</v>
      </c>
      <c r="X7" s="37" t="n">
        <f aca="false">MIN(U7:W7)</f>
        <v>2.63087557156343</v>
      </c>
      <c r="Y7" s="43" t="n">
        <f aca="false">IF(S7&lt;=1,0,(X7-T7)/MAX(T7,X7))</f>
        <v>0.487722128331001</v>
      </c>
    </row>
    <row r="8" customFormat="false" ht="15" hidden="false" customHeight="false" outlineLevel="0" collapsed="false">
      <c r="A8" s="19" t="str">
        <f aca="false">KMeans!A8</f>
        <v>Social infrastructure</v>
      </c>
      <c r="B8" s="28" t="n">
        <f aca="false">KMeans!F8</f>
        <v>1</v>
      </c>
      <c r="C8" s="24" t="n">
        <f aca="false">SQRT(SUMXMY2(KMeans!$B8:$E8,KMeans!$B6:$E6))</f>
        <v>2.1692571132161</v>
      </c>
      <c r="D8" s="24" t="n">
        <f aca="false">SQRT(SUMXMY2(KMeans!$B8:$E8,KMeans!$B7:$E7))</f>
        <v>1.7217780558587</v>
      </c>
      <c r="E8" s="24" t="n">
        <f aca="false">SQRT(SUMXMY2(KMeans!$B8:$E8,KMeans!$B8:$E8))</f>
        <v>0</v>
      </c>
      <c r="F8" s="24" t="n">
        <f aca="false">SQRT(SUMXMY2(KMeans!$B8:$E8,KMeans!$B9:$E9))</f>
        <v>4.28721109478347</v>
      </c>
      <c r="G8" s="24" t="n">
        <f aca="false">SQRT(SUMXMY2(KMeans!$B8:$E8,KMeans!$B10:$E10))</f>
        <v>1.07011567851094</v>
      </c>
      <c r="H8" s="24" t="n">
        <f aca="false">SQRT(SUMXMY2(KMeans!$B8:$E8,KMeans!$B11:$E11))</f>
        <v>1.55380271405664</v>
      </c>
      <c r="I8" s="24" t="n">
        <f aca="false">SQRT(SUMXMY2(KMeans!$B8:$E8,KMeans!$B12:$E12))</f>
        <v>1.55409933063496</v>
      </c>
      <c r="J8" s="24" t="n">
        <f aca="false">SQRT(SUMXMY2(KMeans!$B8:$E8,KMeans!$B13:$E13))</f>
        <v>1.75813550287739</v>
      </c>
      <c r="K8" s="24" t="n">
        <f aca="false">SQRT(SUMXMY2(KMeans!$B8:$E8,KMeans!$B14:$E14))</f>
        <v>1.70074049011409</v>
      </c>
      <c r="L8" s="24" t="n">
        <f aca="false">SQRT(SUMXMY2(KMeans!$B8:$E8,KMeans!$B15:$E15))</f>
        <v>2.50662366661533</v>
      </c>
      <c r="M8" s="24" t="n">
        <f aca="false">SQRT(SUMXMY2(KMeans!$B8:$E8,KMeans!$B16:$E16))</f>
        <v>2.96990503346269</v>
      </c>
      <c r="N8" s="24" t="n">
        <f aca="false">SQRT(SUMXMY2(KMeans!$B8:$E8,KMeans!$B17:$E17))</f>
        <v>3.81789050886198</v>
      </c>
      <c r="O8" s="24" t="n">
        <f aca="false">SQRT(SUMXMY2(KMeans!$B8:$E8,KMeans!$B18:$E18))</f>
        <v>2.50477638523878</v>
      </c>
      <c r="P8" s="24" t="n">
        <f aca="false">SQRT(SUMXMY2(KMeans!$B8:$E8,KMeans!$B19:$E19))</f>
        <v>2.62369980021613</v>
      </c>
      <c r="Q8" s="24" t="n">
        <f aca="false">SQRT(SUMXMY2(KMeans!$B8:$E8,KMeans!$B20:$E20))</f>
        <v>3.01062014576821</v>
      </c>
      <c r="R8" s="24" t="n">
        <f aca="false">SQRT(SUMXMY2(KMeans!$B8:$E8,KMeans!$B21:$E21))</f>
        <v>1.49376251495568</v>
      </c>
      <c r="S8" s="29" t="n">
        <f aca="false">COUNTIF($C$4:$R$4,$B8)</f>
        <v>3</v>
      </c>
      <c r="T8" s="37" t="n">
        <f aca="false">IF(S8&lt;=1,0,SUMIF($C$4:$R$4,$B8,$C8:$R8)/(S8-1))</f>
        <v>1.9455175845374</v>
      </c>
      <c r="U8" s="42" t="n">
        <f aca="false">IF($B8=1,1000000000,IFERROR(SUMIF($C$4:$R$4,1,$C8:$R8)/COUNTIF($C$4:$R$4,1),1000000000))</f>
        <v>1000000000</v>
      </c>
      <c r="V8" s="42" t="n">
        <f aca="false">IF($B8=2,1000000000,IFERROR(SUMIF($C$4:$R$4,2,$C8:$R8)/COUNTIF($C$4:$R$4,2),1000000000))</f>
        <v>4.05255080182272</v>
      </c>
      <c r="W8" s="42" t="n">
        <f aca="false">IF($B8=3,1000000000,IFERROR(SUMIF($C$4:$R$4,3,$C8:$R8)/COUNTIF($C$4:$R$4,3),1000000000))</f>
        <v>2.06784375113189</v>
      </c>
      <c r="X8" s="37" t="n">
        <f aca="false">MIN(U8:W8)</f>
        <v>2.06784375113189</v>
      </c>
      <c r="Y8" s="43" t="n">
        <f aca="false">IF(S8&lt;=1,0,(X8-T8)/MAX(T8,X8))</f>
        <v>0.0591563876755853</v>
      </c>
    </row>
    <row r="9" customFormat="false" ht="15" hidden="false" customHeight="false" outlineLevel="0" collapsed="false">
      <c r="A9" s="19" t="str">
        <f aca="false">KMeans!A9</f>
        <v>Nuclear</v>
      </c>
      <c r="B9" s="28" t="n">
        <f aca="false">KMeans!F9</f>
        <v>2</v>
      </c>
      <c r="C9" s="24" t="n">
        <f aca="false">SQRT(SUMXMY2(KMeans!$B9:$E9,KMeans!$B6:$E6))</f>
        <v>5.74224615247908</v>
      </c>
      <c r="D9" s="24" t="n">
        <f aca="false">SQRT(SUMXMY2(KMeans!$B9:$E9,KMeans!$B7:$E7))</f>
        <v>5.75561044077871</v>
      </c>
      <c r="E9" s="24" t="n">
        <f aca="false">SQRT(SUMXMY2(KMeans!$B9:$E9,KMeans!$B8:$E8))</f>
        <v>4.28721109478347</v>
      </c>
      <c r="F9" s="24" t="n">
        <f aca="false">SQRT(SUMXMY2(KMeans!$B9:$E9,KMeans!$B9:$E9))</f>
        <v>0</v>
      </c>
      <c r="G9" s="24" t="n">
        <f aca="false">SQRT(SUMXMY2(KMeans!$B9:$E9,KMeans!$B10:$E10))</f>
        <v>4.25434021657391</v>
      </c>
      <c r="H9" s="24" t="n">
        <f aca="false">SQRT(SUMXMY2(KMeans!$B9:$E9,KMeans!$B11:$E11))</f>
        <v>4.50453634043979</v>
      </c>
      <c r="I9" s="24" t="n">
        <f aca="false">SQRT(SUMXMY2(KMeans!$B9:$E9,KMeans!$B12:$E12))</f>
        <v>5.18062851427065</v>
      </c>
      <c r="J9" s="24" t="n">
        <f aca="false">SQRT(SUMXMY2(KMeans!$B9:$E9,KMeans!$B13:$E13))</f>
        <v>5.18653996227489</v>
      </c>
      <c r="K9" s="24" t="n">
        <f aca="false">SQRT(SUMXMY2(KMeans!$B9:$E9,KMeans!$B14:$E14))</f>
        <v>4.98868478589967</v>
      </c>
      <c r="L9" s="24" t="n">
        <f aca="false">SQRT(SUMXMY2(KMeans!$B9:$E9,KMeans!$B15:$E15))</f>
        <v>5.27254964104868</v>
      </c>
      <c r="M9" s="24" t="n">
        <f aca="false">SQRT(SUMXMY2(KMeans!$B9:$E9,KMeans!$B16:$E16))</f>
        <v>4.06883002285509</v>
      </c>
      <c r="N9" s="24" t="n">
        <f aca="false">SQRT(SUMXMY2(KMeans!$B9:$E9,KMeans!$B17:$E17))</f>
        <v>2.50357044911749</v>
      </c>
      <c r="O9" s="24" t="n">
        <f aca="false">SQRT(SUMXMY2(KMeans!$B9:$E9,KMeans!$B18:$E18))</f>
        <v>5.00241249673033</v>
      </c>
      <c r="P9" s="24" t="n">
        <f aca="false">SQRT(SUMXMY2(KMeans!$B9:$E9,KMeans!$B19:$E19))</f>
        <v>5.04579206401283</v>
      </c>
      <c r="Q9" s="24" t="n">
        <f aca="false">SQRT(SUMXMY2(KMeans!$B9:$E9,KMeans!$B20:$E20))</f>
        <v>5.33409833669037</v>
      </c>
      <c r="R9" s="24" t="n">
        <f aca="false">SQRT(SUMXMY2(KMeans!$B9:$E9,KMeans!$B21:$E21))</f>
        <v>5.26219723490718</v>
      </c>
      <c r="S9" s="29" t="n">
        <f aca="false">COUNTIF($C$4:$R$4,$B9)</f>
        <v>2</v>
      </c>
      <c r="T9" s="37" t="n">
        <f aca="false">IF(S9&lt;=1,0,SUMIF($C$4:$R$4,$B9,$C9:$R9)/(S9-1))</f>
        <v>2.50357044911749</v>
      </c>
      <c r="U9" s="42" t="n">
        <f aca="false">IF($B9=1,1000000000,IFERROR(SUMIF($C$4:$R$4,1,$C9:$R9)/COUNTIF($C$4:$R$4,1),1000000000))</f>
        <v>5.26168922934709</v>
      </c>
      <c r="V9" s="42" t="n">
        <f aca="false">IF($B9=2,1000000000,IFERROR(SUMIF($C$4:$R$4,2,$C9:$R9)/COUNTIF($C$4:$R$4,2),1000000000))</f>
        <v>1000000000</v>
      </c>
      <c r="W9" s="42" t="n">
        <f aca="false">IF($B9=3,1000000000,IFERROR(SUMIF($C$4:$R$4,3,$C9:$R9)/COUNTIF($C$4:$R$4,3),1000000000))</f>
        <v>4.91823723779122</v>
      </c>
      <c r="X9" s="37" t="n">
        <f aca="false">MIN(U9:W9)</f>
        <v>4.91823723779122</v>
      </c>
      <c r="Y9" s="43" t="n">
        <f aca="false">IF(S9&lt;=1,0,(X9-T9)/MAX(T9,X9))</f>
        <v>0.490961836919879</v>
      </c>
    </row>
    <row r="10" customFormat="false" ht="15" hidden="false" customHeight="false" outlineLevel="0" collapsed="false">
      <c r="A10" s="19" t="str">
        <f aca="false">KMeans!A10</f>
        <v>Defence</v>
      </c>
      <c r="B10" s="28" t="n">
        <f aca="false">KMeans!F10</f>
        <v>3</v>
      </c>
      <c r="C10" s="24" t="n">
        <f aca="false">SQRT(SUMXMY2(KMeans!$B10:$E10,KMeans!$B6:$E6))</f>
        <v>2.90164724557785</v>
      </c>
      <c r="D10" s="24" t="n">
        <f aca="false">SQRT(SUMXMY2(KMeans!$B10:$E10,KMeans!$B7:$E7))</f>
        <v>2.4684814192373</v>
      </c>
      <c r="E10" s="24" t="n">
        <f aca="false">SQRT(SUMXMY2(KMeans!$B10:$E10,KMeans!$B8:$E8))</f>
        <v>1.07011567851094</v>
      </c>
      <c r="F10" s="24" t="n">
        <f aca="false">SQRT(SUMXMY2(KMeans!$B10:$E10,KMeans!$B9:$E9))</f>
        <v>4.25434021657391</v>
      </c>
      <c r="G10" s="24" t="n">
        <f aca="false">SQRT(SUMXMY2(KMeans!$B10:$E10,KMeans!$B10:$E10))</f>
        <v>0</v>
      </c>
      <c r="H10" s="24" t="n">
        <f aca="false">SQRT(SUMXMY2(KMeans!$B10:$E10,KMeans!$B11:$E11))</f>
        <v>1.18776239001807</v>
      </c>
      <c r="I10" s="24" t="n">
        <f aca="false">SQRT(SUMXMY2(KMeans!$B10:$E10,KMeans!$B12:$E12))</f>
        <v>0.942881364891487</v>
      </c>
      <c r="J10" s="24" t="n">
        <f aca="false">SQRT(SUMXMY2(KMeans!$B10:$E10,KMeans!$B13:$E13))</f>
        <v>1.44997661344839</v>
      </c>
      <c r="K10" s="24" t="n">
        <f aca="false">SQRT(SUMXMY2(KMeans!$B10:$E10,KMeans!$B14:$E14))</f>
        <v>1.19607590844542</v>
      </c>
      <c r="L10" s="24" t="n">
        <f aca="false">SQRT(SUMXMY2(KMeans!$B10:$E10,KMeans!$B15:$E15))</f>
        <v>2.22583798728155</v>
      </c>
      <c r="M10" s="24" t="n">
        <f aca="false">SQRT(SUMXMY2(KMeans!$B10:$E10,KMeans!$B16:$E16))</f>
        <v>2.59555716478442</v>
      </c>
      <c r="N10" s="24" t="n">
        <f aca="false">SQRT(SUMXMY2(KMeans!$B10:$E10,KMeans!$B17:$E17))</f>
        <v>3.38547997387369</v>
      </c>
      <c r="O10" s="24" t="n">
        <f aca="false">SQRT(SUMXMY2(KMeans!$B10:$E10,KMeans!$B18:$E18))</f>
        <v>1.95244798559323</v>
      </c>
      <c r="P10" s="24" t="n">
        <f aca="false">SQRT(SUMXMY2(KMeans!$B10:$E10,KMeans!$B19:$E19))</f>
        <v>2.09723727451295</v>
      </c>
      <c r="Q10" s="24" t="n">
        <f aca="false">SQRT(SUMXMY2(KMeans!$B10:$E10,KMeans!$B20:$E20))</f>
        <v>2.4762675176615</v>
      </c>
      <c r="R10" s="24" t="n">
        <f aca="false">SQRT(SUMXMY2(KMeans!$B10:$E10,KMeans!$B21:$E21))</f>
        <v>1.47266023467544</v>
      </c>
      <c r="S10" s="29" t="n">
        <f aca="false">COUNTIF($C$4:$R$4,$B10)</f>
        <v>11</v>
      </c>
      <c r="T10" s="37" t="n">
        <f aca="false">IF(S10&lt;=1,0,SUMIF($C$4:$R$4,$B10,$C10:$R10)/(S10-1))</f>
        <v>1.75967044413124</v>
      </c>
      <c r="U10" s="42" t="n">
        <f aca="false">IF($B10=1,1000000000,IFERROR(SUMIF($C$4:$R$4,1,$C10:$R10)/COUNTIF($C$4:$R$4,1),1000000000))</f>
        <v>2.14674811444203</v>
      </c>
      <c r="V10" s="42" t="n">
        <f aca="false">IF($B10=2,1000000000,IFERROR(SUMIF($C$4:$R$4,2,$C10:$R10)/COUNTIF($C$4:$R$4,2),1000000000))</f>
        <v>3.8199100952238</v>
      </c>
      <c r="W10" s="42" t="n">
        <f aca="false">IF($B10=3,1000000000,IFERROR(SUMIF($C$4:$R$4,3,$C10:$R10)/COUNTIF($C$4:$R$4,3),1000000000))</f>
        <v>1000000000</v>
      </c>
      <c r="X10" s="37" t="n">
        <f aca="false">MIN(U10:W10)</f>
        <v>2.14674811444203</v>
      </c>
      <c r="Y10" s="43" t="n">
        <f aca="false">IF(S10&lt;=1,0,(X10-T10)/MAX(T10,X10))</f>
        <v>0.180308843737539</v>
      </c>
    </row>
    <row r="11" customFormat="false" ht="15" hidden="false" customHeight="false" outlineLevel="0" collapsed="false">
      <c r="A11" s="19" t="str">
        <f aca="false">KMeans!A11</f>
        <v>Agriculture</v>
      </c>
      <c r="B11" s="28" t="n">
        <f aca="false">KMeans!F11</f>
        <v>3</v>
      </c>
      <c r="C11" s="24" t="n">
        <f aca="false">SQRT(SUMXMY2(KMeans!$B11:$E11,KMeans!$B6:$E6))</f>
        <v>2.51586868816359</v>
      </c>
      <c r="D11" s="24" t="n">
        <f aca="false">SQRT(SUMXMY2(KMeans!$B11:$E11,KMeans!$B7:$E7))</f>
        <v>2.45968487010282</v>
      </c>
      <c r="E11" s="24" t="n">
        <f aca="false">SQRT(SUMXMY2(KMeans!$B11:$E11,KMeans!$B8:$E8))</f>
        <v>1.55380271405664</v>
      </c>
      <c r="F11" s="24" t="n">
        <f aca="false">SQRT(SUMXMY2(KMeans!$B11:$E11,KMeans!$B9:$E9))</f>
        <v>4.50453634043979</v>
      </c>
      <c r="G11" s="24" t="n">
        <f aca="false">SQRT(SUMXMY2(KMeans!$B11:$E11,KMeans!$B10:$E10))</f>
        <v>1.18776239001807</v>
      </c>
      <c r="H11" s="24" t="n">
        <f aca="false">SQRT(SUMXMY2(KMeans!$B11:$E11,KMeans!$B11:$E11))</f>
        <v>0</v>
      </c>
      <c r="I11" s="24" t="n">
        <f aca="false">SQRT(SUMXMY2(KMeans!$B11:$E11,KMeans!$B12:$E12))</f>
        <v>1.47687656687425</v>
      </c>
      <c r="J11" s="24" t="n">
        <f aca="false">SQRT(SUMXMY2(KMeans!$B11:$E11,KMeans!$B13:$E13))</f>
        <v>0.995650023879883</v>
      </c>
      <c r="K11" s="24" t="n">
        <f aca="false">SQRT(SUMXMY2(KMeans!$B11:$E11,KMeans!$B14:$E14))</f>
        <v>0.714360161852058</v>
      </c>
      <c r="L11" s="24" t="n">
        <f aca="false">SQRT(SUMXMY2(KMeans!$B11:$E11,KMeans!$B15:$E15))</f>
        <v>1.43183287321352</v>
      </c>
      <c r="M11" s="24" t="n">
        <f aca="false">SQRT(SUMXMY2(KMeans!$B11:$E11,KMeans!$B16:$E16))</f>
        <v>2.29134435622826</v>
      </c>
      <c r="N11" s="24" t="n">
        <f aca="false">SQRT(SUMXMY2(KMeans!$B11:$E11,KMeans!$B17:$E17))</f>
        <v>3.24761235052953</v>
      </c>
      <c r="O11" s="24" t="n">
        <f aca="false">SQRT(SUMXMY2(KMeans!$B11:$E11,KMeans!$B18:$E18))</f>
        <v>1.53113632883648</v>
      </c>
      <c r="P11" s="24" t="n">
        <f aca="false">SQRT(SUMXMY2(KMeans!$B11:$E11,KMeans!$B19:$E19))</f>
        <v>1.61090022828402</v>
      </c>
      <c r="Q11" s="24" t="n">
        <f aca="false">SQRT(SUMXMY2(KMeans!$B11:$E11,KMeans!$B20:$E20))</f>
        <v>1.76106154059997</v>
      </c>
      <c r="R11" s="24" t="n">
        <f aca="false">SQRT(SUMXMY2(KMeans!$B11:$E11,KMeans!$B21:$E21))</f>
        <v>1.20177811816318</v>
      </c>
      <c r="S11" s="29" t="n">
        <f aca="false">COUNTIF($C$4:$R$4,$B11)</f>
        <v>11</v>
      </c>
      <c r="T11" s="37" t="n">
        <f aca="false">IF(S11&lt;=1,0,SUMIF($C$4:$R$4,$B11,$C11:$R11)/(S11-1))</f>
        <v>1.42027025879497</v>
      </c>
      <c r="U11" s="42" t="n">
        <f aca="false">IF($B11=1,1000000000,IFERROR(SUMIF($C$4:$R$4,1,$C11:$R11)/COUNTIF($C$4:$R$4,1),1000000000))</f>
        <v>2.17645209077435</v>
      </c>
      <c r="V11" s="42" t="n">
        <f aca="false">IF($B11=2,1000000000,IFERROR(SUMIF($C$4:$R$4,2,$C11:$R11)/COUNTIF($C$4:$R$4,2),1000000000))</f>
        <v>3.87607434548466</v>
      </c>
      <c r="W11" s="42" t="n">
        <f aca="false">IF($B11=3,1000000000,IFERROR(SUMIF($C$4:$R$4,3,$C11:$R11)/COUNTIF($C$4:$R$4,3),1000000000))</f>
        <v>1000000000</v>
      </c>
      <c r="X11" s="37" t="n">
        <f aca="false">MIN(U11:W11)</f>
        <v>2.17645209077435</v>
      </c>
      <c r="Y11" s="43" t="n">
        <f aca="false">IF(S11&lt;=1,0,(X11-T11)/MAX(T11,X11))</f>
        <v>0.347437848590705</v>
      </c>
    </row>
    <row r="12" customFormat="false" ht="15" hidden="false" customHeight="false" outlineLevel="0" collapsed="false">
      <c r="A12" s="19" t="str">
        <f aca="false">KMeans!A12</f>
        <v>Manufacturing</v>
      </c>
      <c r="B12" s="28" t="n">
        <f aca="false">KMeans!F12</f>
        <v>3</v>
      </c>
      <c r="C12" s="24" t="n">
        <f aca="false">SQRT(SUMXMY2(KMeans!$B12:$E12,KMeans!$B6:$E6))</f>
        <v>2.84470968563456</v>
      </c>
      <c r="D12" s="24" t="n">
        <f aca="false">SQRT(SUMXMY2(KMeans!$B12:$E12,KMeans!$B7:$E7))</f>
        <v>2.28584401632885</v>
      </c>
      <c r="E12" s="24" t="n">
        <f aca="false">SQRT(SUMXMY2(KMeans!$B12:$E12,KMeans!$B8:$E8))</f>
        <v>1.55409933063496</v>
      </c>
      <c r="F12" s="24" t="n">
        <f aca="false">SQRT(SUMXMY2(KMeans!$B12:$E12,KMeans!$B9:$E9))</f>
        <v>5.18062851427065</v>
      </c>
      <c r="G12" s="24" t="n">
        <f aca="false">SQRT(SUMXMY2(KMeans!$B12:$E12,KMeans!$B10:$E10))</f>
        <v>0.942881364891487</v>
      </c>
      <c r="H12" s="24" t="n">
        <f aca="false">SQRT(SUMXMY2(KMeans!$B12:$E12,KMeans!$B11:$E11))</f>
        <v>1.47687656687425</v>
      </c>
      <c r="I12" s="24" t="n">
        <f aca="false">SQRT(SUMXMY2(KMeans!$B12:$E12,KMeans!$B12:$E12))</f>
        <v>0</v>
      </c>
      <c r="J12" s="24" t="n">
        <f aca="false">SQRT(SUMXMY2(KMeans!$B12:$E12,KMeans!$B13:$E13))</f>
        <v>1.16746928110899</v>
      </c>
      <c r="K12" s="24" t="n">
        <f aca="false">SQRT(SUMXMY2(KMeans!$B12:$E12,KMeans!$B14:$E14))</f>
        <v>1.02204671017808</v>
      </c>
      <c r="L12" s="24" t="n">
        <f aca="false">SQRT(SUMXMY2(KMeans!$B12:$E12,KMeans!$B15:$E15))</f>
        <v>2.10971275370092</v>
      </c>
      <c r="M12" s="24" t="n">
        <f aca="false">SQRT(SUMXMY2(KMeans!$B12:$E12,KMeans!$B16:$E16))</f>
        <v>2.95072288793742</v>
      </c>
      <c r="N12" s="24" t="n">
        <f aca="false">SQRT(SUMXMY2(KMeans!$B12:$E12,KMeans!$B17:$E17))</f>
        <v>4.1903301607312</v>
      </c>
      <c r="O12" s="24" t="n">
        <f aca="false">SQRT(SUMXMY2(KMeans!$B12:$E12,KMeans!$B18:$E18))</f>
        <v>1.86954994077197</v>
      </c>
      <c r="P12" s="24" t="n">
        <f aca="false">SQRT(SUMXMY2(KMeans!$B12:$E12,KMeans!$B19:$E19))</f>
        <v>2.02254024578531</v>
      </c>
      <c r="Q12" s="24" t="n">
        <f aca="false">SQRT(SUMXMY2(KMeans!$B12:$E12,KMeans!$B20:$E20))</f>
        <v>2.36154647990979</v>
      </c>
      <c r="R12" s="24" t="n">
        <f aca="false">SQRT(SUMXMY2(KMeans!$B12:$E12,KMeans!$B21:$E21))</f>
        <v>1.16551155116036</v>
      </c>
      <c r="S12" s="29" t="n">
        <f aca="false">COUNTIF($C$4:$R$4,$B12)</f>
        <v>11</v>
      </c>
      <c r="T12" s="37" t="n">
        <f aca="false">IF(S12&lt;=1,0,SUMIF($C$4:$R$4,$B12,$C12:$R12)/(S12-1))</f>
        <v>1.70888577823186</v>
      </c>
      <c r="U12" s="42" t="n">
        <f aca="false">IF($B12=1,1000000000,IFERROR(SUMIF($C$4:$R$4,1,$C12:$R12)/COUNTIF($C$4:$R$4,1),1000000000))</f>
        <v>2.22821767753279</v>
      </c>
      <c r="V12" s="42" t="n">
        <f aca="false">IF($B12=2,1000000000,IFERROR(SUMIF($C$4:$R$4,2,$C12:$R12)/COUNTIF($C$4:$R$4,2),1000000000))</f>
        <v>4.68547933750093</v>
      </c>
      <c r="W12" s="42" t="n">
        <f aca="false">IF($B12=3,1000000000,IFERROR(SUMIF($C$4:$R$4,3,$C12:$R12)/COUNTIF($C$4:$R$4,3),1000000000))</f>
        <v>1000000000</v>
      </c>
      <c r="X12" s="37" t="n">
        <f aca="false">MIN(U12:W12)</f>
        <v>2.22821767753279</v>
      </c>
      <c r="Y12" s="43" t="n">
        <f aca="false">IF(S12&lt;=1,0,(X12-T12)/MAX(T12,X12))</f>
        <v>0.233070540879995</v>
      </c>
    </row>
    <row r="13" customFormat="false" ht="15" hidden="false" customHeight="false" outlineLevel="0" collapsed="false">
      <c r="A13" s="19" t="str">
        <f aca="false">KMeans!A13</f>
        <v>Financial services</v>
      </c>
      <c r="B13" s="28" t="n">
        <f aca="false">KMeans!F13</f>
        <v>3</v>
      </c>
      <c r="C13" s="24" t="n">
        <f aca="false">SQRT(SUMXMY2(KMeans!$B13:$E13,KMeans!$B6:$E6))</f>
        <v>2.22660307280321</v>
      </c>
      <c r="D13" s="24" t="n">
        <f aca="false">SQRT(SUMXMY2(KMeans!$B13:$E13,KMeans!$B7:$E7))</f>
        <v>2.06411668834288</v>
      </c>
      <c r="E13" s="24" t="n">
        <f aca="false">SQRT(SUMXMY2(KMeans!$B13:$E13,KMeans!$B8:$E8))</f>
        <v>1.75813550287739</v>
      </c>
      <c r="F13" s="24" t="n">
        <f aca="false">SQRT(SUMXMY2(KMeans!$B13:$E13,KMeans!$B9:$E9))</f>
        <v>5.18653996227489</v>
      </c>
      <c r="G13" s="24" t="n">
        <f aca="false">SQRT(SUMXMY2(KMeans!$B13:$E13,KMeans!$B10:$E10))</f>
        <v>1.44997661344839</v>
      </c>
      <c r="H13" s="24" t="n">
        <f aca="false">SQRT(SUMXMY2(KMeans!$B13:$E13,KMeans!$B11:$E11))</f>
        <v>0.995650023879883</v>
      </c>
      <c r="I13" s="24" t="n">
        <f aca="false">SQRT(SUMXMY2(KMeans!$B13:$E13,KMeans!$B12:$E12))</f>
        <v>1.16746928110899</v>
      </c>
      <c r="J13" s="24" t="n">
        <f aca="false">SQRT(SUMXMY2(KMeans!$B13:$E13,KMeans!$B13:$E13))</f>
        <v>0</v>
      </c>
      <c r="K13" s="24" t="n">
        <f aca="false">SQRT(SUMXMY2(KMeans!$B13:$E13,KMeans!$B14:$E14))</f>
        <v>0.427023552922127</v>
      </c>
      <c r="L13" s="24" t="n">
        <f aca="false">SQRT(SUMXMY2(KMeans!$B13:$E13,KMeans!$B15:$E15))</f>
        <v>0.990274343742728</v>
      </c>
      <c r="M13" s="24" t="n">
        <f aca="false">SQRT(SUMXMY2(KMeans!$B13:$E13,KMeans!$B16:$E16))</f>
        <v>2.28687445605214</v>
      </c>
      <c r="N13" s="24" t="n">
        <f aca="false">SQRT(SUMXMY2(KMeans!$B13:$E13,KMeans!$B17:$E17))</f>
        <v>4.12570759424391</v>
      </c>
      <c r="O13" s="24" t="n">
        <f aca="false">SQRT(SUMXMY2(KMeans!$B13:$E13,KMeans!$B18:$E18))</f>
        <v>1.10229839115618</v>
      </c>
      <c r="P13" s="24" t="n">
        <f aca="false">SQRT(SUMXMY2(KMeans!$B13:$E13,KMeans!$B19:$E19))</f>
        <v>1.20114178266415</v>
      </c>
      <c r="Q13" s="24" t="n">
        <f aca="false">SQRT(SUMXMY2(KMeans!$B13:$E13,KMeans!$B20:$E20))</f>
        <v>1.46456104992638</v>
      </c>
      <c r="R13" s="24" t="n">
        <f aca="false">SQRT(SUMXMY2(KMeans!$B13:$E13,KMeans!$B21:$E21))</f>
        <v>0.49380420936944</v>
      </c>
      <c r="S13" s="29" t="n">
        <f aca="false">COUNTIF($C$4:$R$4,$B13)</f>
        <v>11</v>
      </c>
      <c r="T13" s="37" t="n">
        <f aca="false">IF(S13&lt;=1,0,SUMIF($C$4:$R$4,$B13,$C13:$R13)/(S13-1))</f>
        <v>1.15790737042704</v>
      </c>
      <c r="U13" s="42" t="n">
        <f aca="false">IF($B13=1,1000000000,IFERROR(SUMIF($C$4:$R$4,1,$C13:$R13)/COUNTIF($C$4:$R$4,1),1000000000))</f>
        <v>2.01628508800782</v>
      </c>
      <c r="V13" s="42" t="n">
        <f aca="false">IF($B13=2,1000000000,IFERROR(SUMIF($C$4:$R$4,2,$C13:$R13)/COUNTIF($C$4:$R$4,2),1000000000))</f>
        <v>4.6561237782594</v>
      </c>
      <c r="W13" s="42" t="n">
        <f aca="false">IF($B13=3,1000000000,IFERROR(SUMIF($C$4:$R$4,3,$C13:$R13)/COUNTIF($C$4:$R$4,3),1000000000))</f>
        <v>1000000000</v>
      </c>
      <c r="X13" s="37" t="n">
        <f aca="false">MIN(U13:W13)</f>
        <v>2.01628508800782</v>
      </c>
      <c r="Y13" s="43" t="n">
        <f aca="false">IF(S13&lt;=1,0,(X13-T13)/MAX(T13,X13))</f>
        <v>0.425722395451973</v>
      </c>
    </row>
    <row r="14" customFormat="false" ht="15" hidden="false" customHeight="false" outlineLevel="0" collapsed="false">
      <c r="A14" s="19" t="str">
        <f aca="false">KMeans!A14</f>
        <v>Gaming &amp; entertainment</v>
      </c>
      <c r="B14" s="28" t="n">
        <f aca="false">KMeans!F14</f>
        <v>3</v>
      </c>
      <c r="C14" s="24" t="n">
        <f aca="false">SQRT(SUMXMY2(KMeans!$B14:$E14,KMeans!$B6:$E6))</f>
        <v>2.50953347556882</v>
      </c>
      <c r="D14" s="24" t="n">
        <f aca="false">SQRT(SUMXMY2(KMeans!$B14:$E14,KMeans!$B7:$E7))</f>
        <v>2.31429387378216</v>
      </c>
      <c r="E14" s="24" t="n">
        <f aca="false">SQRT(SUMXMY2(KMeans!$B14:$E14,KMeans!$B8:$E8))</f>
        <v>1.70074049011409</v>
      </c>
      <c r="F14" s="24" t="n">
        <f aca="false">SQRT(SUMXMY2(KMeans!$B14:$E14,KMeans!$B9:$E9))</f>
        <v>4.98868478589967</v>
      </c>
      <c r="G14" s="24" t="n">
        <f aca="false">SQRT(SUMXMY2(KMeans!$B14:$E14,KMeans!$B10:$E10))</f>
        <v>1.19607590844542</v>
      </c>
      <c r="H14" s="24" t="n">
        <f aca="false">SQRT(SUMXMY2(KMeans!$B14:$E14,KMeans!$B11:$E11))</f>
        <v>0.714360161852058</v>
      </c>
      <c r="I14" s="24" t="n">
        <f aca="false">SQRT(SUMXMY2(KMeans!$B14:$E14,KMeans!$B12:$E12))</f>
        <v>1.02204671017808</v>
      </c>
      <c r="J14" s="24" t="n">
        <f aca="false">SQRT(SUMXMY2(KMeans!$B14:$E14,KMeans!$B13:$E13))</f>
        <v>0.427023552922127</v>
      </c>
      <c r="K14" s="24" t="n">
        <f aca="false">SQRT(SUMXMY2(KMeans!$B14:$E14,KMeans!$B14:$E14))</f>
        <v>0</v>
      </c>
      <c r="L14" s="24" t="n">
        <f aca="false">SQRT(SUMXMY2(KMeans!$B14:$E14,KMeans!$B15:$E15))</f>
        <v>1.19042840851291</v>
      </c>
      <c r="M14" s="24" t="n">
        <f aca="false">SQRT(SUMXMY2(KMeans!$B14:$E14,KMeans!$B16:$E16))</f>
        <v>2.31324665072871</v>
      </c>
      <c r="N14" s="24" t="n">
        <f aca="false">SQRT(SUMXMY2(KMeans!$B14:$E14,KMeans!$B17:$E17))</f>
        <v>3.80135069499442</v>
      </c>
      <c r="O14" s="24" t="n">
        <f aca="false">SQRT(SUMXMY2(KMeans!$B14:$E14,KMeans!$B18:$E18))</f>
        <v>1.16725025095641</v>
      </c>
      <c r="P14" s="24" t="n">
        <f aca="false">SQRT(SUMXMY2(KMeans!$B14:$E14,KMeans!$B19:$E19))</f>
        <v>1.28106357462997</v>
      </c>
      <c r="Q14" s="24" t="n">
        <f aca="false">SQRT(SUMXMY2(KMeans!$B14:$E14,KMeans!$B20:$E20))</f>
        <v>1.50671846744692</v>
      </c>
      <c r="R14" s="24" t="n">
        <f aca="false">SQRT(SUMXMY2(KMeans!$B14:$E14,KMeans!$B21:$E21))</f>
        <v>0.787373628031774</v>
      </c>
      <c r="S14" s="29" t="n">
        <f aca="false">COUNTIF($C$4:$R$4,$B14)</f>
        <v>11</v>
      </c>
      <c r="T14" s="37" t="n">
        <f aca="false">IF(S14&lt;=1,0,SUMIF($C$4:$R$4,$B14,$C14:$R14)/(S14-1))</f>
        <v>1.16055873137044</v>
      </c>
      <c r="U14" s="42" t="n">
        <f aca="false">IF($B14=1,1000000000,IFERROR(SUMIF($C$4:$R$4,1,$C14:$R14)/COUNTIF($C$4:$R$4,1),1000000000))</f>
        <v>2.17485594648836</v>
      </c>
      <c r="V14" s="42" t="n">
        <f aca="false">IF($B14=2,1000000000,IFERROR(SUMIF($C$4:$R$4,2,$C14:$R14)/COUNTIF($C$4:$R$4,2),1000000000))</f>
        <v>4.39501774044704</v>
      </c>
      <c r="W14" s="42" t="n">
        <f aca="false">IF($B14=3,1000000000,IFERROR(SUMIF($C$4:$R$4,3,$C14:$R14)/COUNTIF($C$4:$R$4,3),1000000000))</f>
        <v>1000000000</v>
      </c>
      <c r="X14" s="37" t="n">
        <f aca="false">MIN(U14:W14)</f>
        <v>2.17485594648836</v>
      </c>
      <c r="Y14" s="43" t="n">
        <f aca="false">IF(S14&lt;=1,0,(X14-T14)/MAX(T14,X14))</f>
        <v>0.466374435858918</v>
      </c>
    </row>
    <row r="15" customFormat="false" ht="15" hidden="false" customHeight="false" outlineLevel="0" collapsed="false">
      <c r="A15" s="19" t="str">
        <f aca="false">KMeans!A15</f>
        <v>Chemicals &amp; pharmaceuticals</v>
      </c>
      <c r="B15" s="28" t="n">
        <f aca="false">KMeans!F15</f>
        <v>3</v>
      </c>
      <c r="C15" s="24" t="n">
        <f aca="false">SQRT(SUMXMY2(KMeans!$B15:$E15,KMeans!$B6:$E6))</f>
        <v>2.47749160909251</v>
      </c>
      <c r="D15" s="24" t="n">
        <f aca="false">SQRT(SUMXMY2(KMeans!$B15:$E15,KMeans!$B7:$E7))</f>
        <v>2.65915545284857</v>
      </c>
      <c r="E15" s="24" t="n">
        <f aca="false">SQRT(SUMXMY2(KMeans!$B15:$E15,KMeans!$B8:$E8))</f>
        <v>2.50662366661533</v>
      </c>
      <c r="F15" s="24" t="n">
        <f aca="false">SQRT(SUMXMY2(KMeans!$B15:$E15,KMeans!$B9:$E9))</f>
        <v>5.27254964104868</v>
      </c>
      <c r="G15" s="24" t="n">
        <f aca="false">SQRT(SUMXMY2(KMeans!$B15:$E15,KMeans!$B10:$E10))</f>
        <v>2.22583798728155</v>
      </c>
      <c r="H15" s="24" t="n">
        <f aca="false">SQRT(SUMXMY2(KMeans!$B15:$E15,KMeans!$B11:$E11))</f>
        <v>1.43183287321352</v>
      </c>
      <c r="I15" s="24" t="n">
        <f aca="false">SQRT(SUMXMY2(KMeans!$B15:$E15,KMeans!$B12:$E12))</f>
        <v>2.10971275370092</v>
      </c>
      <c r="J15" s="24" t="n">
        <f aca="false">SQRT(SUMXMY2(KMeans!$B15:$E15,KMeans!$B13:$E13))</f>
        <v>0.990274343742728</v>
      </c>
      <c r="K15" s="24" t="n">
        <f aca="false">SQRT(SUMXMY2(KMeans!$B15:$E15,KMeans!$B14:$E14))</f>
        <v>1.19042840851291</v>
      </c>
      <c r="L15" s="24" t="n">
        <f aca="false">SQRT(SUMXMY2(KMeans!$B15:$E15,KMeans!$B15:$E15))</f>
        <v>0</v>
      </c>
      <c r="M15" s="24" t="n">
        <f aca="false">SQRT(SUMXMY2(KMeans!$B15:$E15,KMeans!$B16:$E16))</f>
        <v>1.82121195323014</v>
      </c>
      <c r="N15" s="24" t="n">
        <f aca="false">SQRT(SUMXMY2(KMeans!$B15:$E15,KMeans!$B17:$E17))</f>
        <v>4.14728487380483</v>
      </c>
      <c r="O15" s="24" t="n">
        <f aca="false">SQRT(SUMXMY2(KMeans!$B15:$E15,KMeans!$B18:$E18))</f>
        <v>0.819858344552512</v>
      </c>
      <c r="P15" s="24" t="n">
        <f aca="false">SQRT(SUMXMY2(KMeans!$B15:$E15,KMeans!$B19:$E19))</f>
        <v>0.762270143934244</v>
      </c>
      <c r="Q15" s="24" t="n">
        <f aca="false">SQRT(SUMXMY2(KMeans!$B15:$E15,KMeans!$B20:$E20))</f>
        <v>0.773521382240177</v>
      </c>
      <c r="R15" s="24" t="n">
        <f aca="false">SQRT(SUMXMY2(KMeans!$B15:$E15,KMeans!$B21:$E21))</f>
        <v>1.33173626985614</v>
      </c>
      <c r="S15" s="29" t="n">
        <f aca="false">COUNTIF($C$4:$R$4,$B15)</f>
        <v>11</v>
      </c>
      <c r="T15" s="37" t="n">
        <f aca="false">IF(S15&lt;=1,0,SUMIF($C$4:$R$4,$B15,$C15:$R15)/(S15-1))</f>
        <v>1.34566844602648</v>
      </c>
      <c r="U15" s="42" t="n">
        <f aca="false">IF($B15=1,1000000000,IFERROR(SUMIF($C$4:$R$4,1,$C15:$R15)/COUNTIF($C$4:$R$4,1),1000000000))</f>
        <v>2.5477569095188</v>
      </c>
      <c r="V15" s="42" t="n">
        <f aca="false">IF($B15=2,1000000000,IFERROR(SUMIF($C$4:$R$4,2,$C15:$R15)/COUNTIF($C$4:$R$4,2),1000000000))</f>
        <v>4.70991725742675</v>
      </c>
      <c r="W15" s="42" t="n">
        <f aca="false">IF($B15=3,1000000000,IFERROR(SUMIF($C$4:$R$4,3,$C15:$R15)/COUNTIF($C$4:$R$4,3),1000000000))</f>
        <v>1000000000</v>
      </c>
      <c r="X15" s="37" t="n">
        <f aca="false">MIN(U15:W15)</f>
        <v>2.5477569095188</v>
      </c>
      <c r="Y15" s="43" t="n">
        <f aca="false">IF(S15&lt;=1,0,(X15-T15)/MAX(T15,X15))</f>
        <v>0.471822275901259</v>
      </c>
    </row>
    <row r="16" customFormat="false" ht="15" hidden="false" customHeight="false" outlineLevel="0" collapsed="false">
      <c r="A16" s="19" t="str">
        <f aca="false">KMeans!A16</f>
        <v>Renewables</v>
      </c>
      <c r="B16" s="28" t="n">
        <f aca="false">KMeans!F16</f>
        <v>3</v>
      </c>
      <c r="C16" s="24" t="n">
        <f aca="false">SQRT(SUMXMY2(KMeans!$B16:$E16,KMeans!$B6:$E6))</f>
        <v>3.54146287633919</v>
      </c>
      <c r="D16" s="24" t="n">
        <f aca="false">SQRT(SUMXMY2(KMeans!$B16:$E16,KMeans!$B7:$E7))</f>
        <v>3.69151645225735</v>
      </c>
      <c r="E16" s="24" t="n">
        <f aca="false">SQRT(SUMXMY2(KMeans!$B16:$E16,KMeans!$B8:$E8))</f>
        <v>2.96990503346269</v>
      </c>
      <c r="F16" s="24" t="n">
        <f aca="false">SQRT(SUMXMY2(KMeans!$B16:$E16,KMeans!$B9:$E9))</f>
        <v>4.06883002285509</v>
      </c>
      <c r="G16" s="24" t="n">
        <f aca="false">SQRT(SUMXMY2(KMeans!$B16:$E16,KMeans!$B10:$E10))</f>
        <v>2.59555716478442</v>
      </c>
      <c r="H16" s="24" t="n">
        <f aca="false">SQRT(SUMXMY2(KMeans!$B16:$E16,KMeans!$B11:$E11))</f>
        <v>2.29134435622826</v>
      </c>
      <c r="I16" s="24" t="n">
        <f aca="false">SQRT(SUMXMY2(KMeans!$B16:$E16,KMeans!$B12:$E12))</f>
        <v>2.95072288793742</v>
      </c>
      <c r="J16" s="24" t="n">
        <f aca="false">SQRT(SUMXMY2(KMeans!$B16:$E16,KMeans!$B13:$E13))</f>
        <v>2.28687445605214</v>
      </c>
      <c r="K16" s="24" t="n">
        <f aca="false">SQRT(SUMXMY2(KMeans!$B16:$E16,KMeans!$B14:$E14))</f>
        <v>2.31324665072871</v>
      </c>
      <c r="L16" s="24" t="n">
        <f aca="false">SQRT(SUMXMY2(KMeans!$B16:$E16,KMeans!$B15:$E15))</f>
        <v>1.82121195323014</v>
      </c>
      <c r="M16" s="24" t="n">
        <f aca="false">SQRT(SUMXMY2(KMeans!$B16:$E16,KMeans!$B16:$E16))</f>
        <v>0</v>
      </c>
      <c r="N16" s="24" t="n">
        <f aca="false">SQRT(SUMXMY2(KMeans!$B16:$E16,KMeans!$B17:$E17))</f>
        <v>3.45818050190578</v>
      </c>
      <c r="O16" s="24" t="n">
        <f aca="false">SQRT(SUMXMY2(KMeans!$B16:$E16,KMeans!$B18:$E18))</f>
        <v>1.46225576487987</v>
      </c>
      <c r="P16" s="24" t="n">
        <f aca="false">SQRT(SUMXMY2(KMeans!$B16:$E16,KMeans!$B19:$E19))</f>
        <v>1.41461363394337</v>
      </c>
      <c r="Q16" s="24" t="n">
        <f aca="false">SQRT(SUMXMY2(KMeans!$B16:$E16,KMeans!$B20:$E20))</f>
        <v>1.71264838269241</v>
      </c>
      <c r="R16" s="24" t="n">
        <f aca="false">SQRT(SUMXMY2(KMeans!$B16:$E16,KMeans!$B21:$E21))</f>
        <v>2.56875222972443</v>
      </c>
      <c r="S16" s="29" t="n">
        <f aca="false">COUNTIF($C$4:$R$4,$B16)</f>
        <v>11</v>
      </c>
      <c r="T16" s="37" t="n">
        <f aca="false">IF(S16&lt;=1,0,SUMIF($C$4:$R$4,$B16,$C16:$R16)/(S16-1))</f>
        <v>2.14172274802012</v>
      </c>
      <c r="U16" s="42" t="n">
        <f aca="false">IF($B16=1,1000000000,IFERROR(SUMIF($C$4:$R$4,1,$C16:$R16)/COUNTIF($C$4:$R$4,1),1000000000))</f>
        <v>3.40096145401974</v>
      </c>
      <c r="V16" s="42" t="n">
        <f aca="false">IF($B16=2,1000000000,IFERROR(SUMIF($C$4:$R$4,2,$C16:$R16)/COUNTIF($C$4:$R$4,2),1000000000))</f>
        <v>3.76350526238044</v>
      </c>
      <c r="W16" s="42" t="n">
        <f aca="false">IF($B16=3,1000000000,IFERROR(SUMIF($C$4:$R$4,3,$C16:$R16)/COUNTIF($C$4:$R$4,3),1000000000))</f>
        <v>1000000000</v>
      </c>
      <c r="X16" s="37" t="n">
        <f aca="false">MIN(U16:W16)</f>
        <v>3.40096145401974</v>
      </c>
      <c r="Y16" s="43" t="n">
        <f aca="false">IF(S16&lt;=1,0,(X16-T16)/MAX(T16,X16))</f>
        <v>0.37025962305785</v>
      </c>
    </row>
    <row r="17" customFormat="false" ht="15" hidden="false" customHeight="false" outlineLevel="0" collapsed="false">
      <c r="A17" s="19" t="str">
        <f aca="false">KMeans!A17</f>
        <v>Forestry</v>
      </c>
      <c r="B17" s="28" t="n">
        <f aca="false">KMeans!F17</f>
        <v>2</v>
      </c>
      <c r="C17" s="24" t="n">
        <f aca="false">SQRT(SUMXMY2(KMeans!$B17:$E17,KMeans!$B6:$E6))</f>
        <v>5.29053984774068</v>
      </c>
      <c r="D17" s="24" t="n">
        <f aca="false">SQRT(SUMXMY2(KMeans!$B17:$E17,KMeans!$B7:$E7))</f>
        <v>5.33882536782854</v>
      </c>
      <c r="E17" s="24" t="n">
        <f aca="false">SQRT(SUMXMY2(KMeans!$B17:$E17,KMeans!$B8:$E8))</f>
        <v>3.81789050886198</v>
      </c>
      <c r="F17" s="24" t="n">
        <f aca="false">SQRT(SUMXMY2(KMeans!$B17:$E17,KMeans!$B9:$E9))</f>
        <v>2.50357044911749</v>
      </c>
      <c r="G17" s="24" t="n">
        <f aca="false">SQRT(SUMXMY2(KMeans!$B17:$E17,KMeans!$B10:$E10))</f>
        <v>3.38547997387369</v>
      </c>
      <c r="H17" s="24" t="n">
        <f aca="false">SQRT(SUMXMY2(KMeans!$B17:$E17,KMeans!$B11:$E11))</f>
        <v>3.24761235052953</v>
      </c>
      <c r="I17" s="24" t="n">
        <f aca="false">SQRT(SUMXMY2(KMeans!$B17:$E17,KMeans!$B12:$E12))</f>
        <v>4.1903301607312</v>
      </c>
      <c r="J17" s="24" t="n">
        <f aca="false">SQRT(SUMXMY2(KMeans!$B17:$E17,KMeans!$B13:$E13))</f>
        <v>4.12570759424391</v>
      </c>
      <c r="K17" s="24" t="n">
        <f aca="false">SQRT(SUMXMY2(KMeans!$B17:$E17,KMeans!$B14:$E14))</f>
        <v>3.80135069499442</v>
      </c>
      <c r="L17" s="24" t="n">
        <f aca="false">SQRT(SUMXMY2(KMeans!$B17:$E17,KMeans!$B15:$E15))</f>
        <v>4.14728487380483</v>
      </c>
      <c r="M17" s="24" t="n">
        <f aca="false">SQRT(SUMXMY2(KMeans!$B17:$E17,KMeans!$B16:$E16))</f>
        <v>3.45818050190578</v>
      </c>
      <c r="N17" s="24" t="n">
        <f aca="false">SQRT(SUMXMY2(KMeans!$B17:$E17,KMeans!$B17:$E17))</f>
        <v>0</v>
      </c>
      <c r="O17" s="24" t="n">
        <f aca="false">SQRT(SUMXMY2(KMeans!$B17:$E17,KMeans!$B18:$E18))</f>
        <v>3.92507226856103</v>
      </c>
      <c r="P17" s="24" t="n">
        <f aca="false">SQRT(SUMXMY2(KMeans!$B17:$E17,KMeans!$B19:$E19))</f>
        <v>3.95536150311273</v>
      </c>
      <c r="Q17" s="24" t="n">
        <f aca="false">SQRT(SUMXMY2(KMeans!$B17:$E17,KMeans!$B20:$E20))</f>
        <v>4.01823633839975</v>
      </c>
      <c r="R17" s="24" t="n">
        <f aca="false">SQRT(SUMXMY2(KMeans!$B17:$E17,KMeans!$B21:$E21))</f>
        <v>4.36351212308962</v>
      </c>
      <c r="S17" s="29" t="n">
        <f aca="false">COUNTIF($C$4:$R$4,$B17)</f>
        <v>2</v>
      </c>
      <c r="T17" s="37" t="n">
        <f aca="false">IF(S17&lt;=1,0,SUMIF($C$4:$R$4,$B17,$C17:$R17)/(S17-1))</f>
        <v>2.50357044911749</v>
      </c>
      <c r="U17" s="42" t="n">
        <f aca="false">IF($B17=1,1000000000,IFERROR(SUMIF($C$4:$R$4,1,$C17:$R17)/COUNTIF($C$4:$R$4,1),1000000000))</f>
        <v>4.81575190814373</v>
      </c>
      <c r="V17" s="42" t="n">
        <f aca="false">IF($B17=2,1000000000,IFERROR(SUMIF($C$4:$R$4,2,$C17:$R17)/COUNTIF($C$4:$R$4,2),1000000000))</f>
        <v>1000000000</v>
      </c>
      <c r="W17" s="42" t="n">
        <f aca="false">IF($B17=3,1000000000,IFERROR(SUMIF($C$4:$R$4,3,$C17:$R17)/COUNTIF($C$4:$R$4,3),1000000000))</f>
        <v>3.87437530756786</v>
      </c>
      <c r="X17" s="37" t="n">
        <f aca="false">MIN(U17:W17)</f>
        <v>3.87437530756786</v>
      </c>
      <c r="Y17" s="43" t="n">
        <f aca="false">IF(S17&lt;=1,0,(X17-T17)/MAX(T17,X17))</f>
        <v>0.353813131054383</v>
      </c>
    </row>
    <row r="18" customFormat="false" ht="15" hidden="false" customHeight="false" outlineLevel="0" collapsed="false">
      <c r="A18" s="19" t="str">
        <f aca="false">KMeans!A18</f>
        <v>Transport</v>
      </c>
      <c r="B18" s="28" t="n">
        <f aca="false">KMeans!F18</f>
        <v>3</v>
      </c>
      <c r="C18" s="24" t="n">
        <f aca="false">SQRT(SUMXMY2(KMeans!$B18:$E18,KMeans!$B6:$E6))</f>
        <v>3.00864329541005</v>
      </c>
      <c r="D18" s="24" t="n">
        <f aca="false">SQRT(SUMXMY2(KMeans!$B18:$E18,KMeans!$B7:$E7))</f>
        <v>2.98508093733102</v>
      </c>
      <c r="E18" s="24" t="n">
        <f aca="false">SQRT(SUMXMY2(KMeans!$B18:$E18,KMeans!$B8:$E8))</f>
        <v>2.50477638523878</v>
      </c>
      <c r="F18" s="24" t="n">
        <f aca="false">SQRT(SUMXMY2(KMeans!$B18:$E18,KMeans!$B9:$E9))</f>
        <v>5.00241249673033</v>
      </c>
      <c r="G18" s="24" t="n">
        <f aca="false">SQRT(SUMXMY2(KMeans!$B18:$E18,KMeans!$B10:$E10))</f>
        <v>1.95244798559323</v>
      </c>
      <c r="H18" s="24" t="n">
        <f aca="false">SQRT(SUMXMY2(KMeans!$B18:$E18,KMeans!$B11:$E11))</f>
        <v>1.53113632883648</v>
      </c>
      <c r="I18" s="24" t="n">
        <f aca="false">SQRT(SUMXMY2(KMeans!$B18:$E18,KMeans!$B12:$E12))</f>
        <v>1.86954994077197</v>
      </c>
      <c r="J18" s="24" t="n">
        <f aca="false">SQRT(SUMXMY2(KMeans!$B18:$E18,KMeans!$B13:$E13))</f>
        <v>1.10229839115618</v>
      </c>
      <c r="K18" s="24" t="n">
        <f aca="false">SQRT(SUMXMY2(KMeans!$B18:$E18,KMeans!$B14:$E14))</f>
        <v>1.16725025095641</v>
      </c>
      <c r="L18" s="24" t="n">
        <f aca="false">SQRT(SUMXMY2(KMeans!$B18:$E18,KMeans!$B15:$E15))</f>
        <v>0.819858344552512</v>
      </c>
      <c r="M18" s="24" t="n">
        <f aca="false">SQRT(SUMXMY2(KMeans!$B18:$E18,KMeans!$B16:$E16))</f>
        <v>1.46225576487987</v>
      </c>
      <c r="N18" s="24" t="n">
        <f aca="false">SQRT(SUMXMY2(KMeans!$B18:$E18,KMeans!$B17:$E17))</f>
        <v>3.92507226856103</v>
      </c>
      <c r="O18" s="24" t="n">
        <f aca="false">SQRT(SUMXMY2(KMeans!$B18:$E18,KMeans!$B18:$E18))</f>
        <v>0</v>
      </c>
      <c r="P18" s="24" t="n">
        <f aca="false">SQRT(SUMXMY2(KMeans!$B18:$E18,KMeans!$B19:$E19))</f>
        <v>0.164112064596924</v>
      </c>
      <c r="Q18" s="24" t="n">
        <f aca="false">SQRT(SUMXMY2(KMeans!$B18:$E18,KMeans!$B20:$E20))</f>
        <v>0.710552984191362</v>
      </c>
      <c r="R18" s="24" t="n">
        <f aca="false">SQRT(SUMXMY2(KMeans!$B18:$E18,KMeans!$B21:$E21))</f>
        <v>1.52205810631049</v>
      </c>
      <c r="S18" s="29" t="n">
        <f aca="false">COUNTIF($C$4:$R$4,$B18)</f>
        <v>11</v>
      </c>
      <c r="T18" s="37" t="n">
        <f aca="false">IF(S18&lt;=1,0,SUMIF($C$4:$R$4,$B18,$C18:$R18)/(S18-1))</f>
        <v>1.23015201618454</v>
      </c>
      <c r="U18" s="42" t="n">
        <f aca="false">IF($B18=1,1000000000,IFERROR(SUMIF($C$4:$R$4,1,$C18:$R18)/COUNTIF($C$4:$R$4,1),1000000000))</f>
        <v>2.83283353932662</v>
      </c>
      <c r="V18" s="42" t="n">
        <f aca="false">IF($B18=2,1000000000,IFERROR(SUMIF($C$4:$R$4,2,$C18:$R18)/COUNTIF($C$4:$R$4,2),1000000000))</f>
        <v>4.46374238264568</v>
      </c>
      <c r="W18" s="42" t="n">
        <f aca="false">IF($B18=3,1000000000,IFERROR(SUMIF($C$4:$R$4,3,$C18:$R18)/COUNTIF($C$4:$R$4,3),1000000000))</f>
        <v>1000000000</v>
      </c>
      <c r="X18" s="37" t="n">
        <f aca="false">MIN(U18:W18)</f>
        <v>2.83283353932662</v>
      </c>
      <c r="Y18" s="43" t="n">
        <f aca="false">IF(S18&lt;=1,0,(X18-T18)/MAX(T18,X18))</f>
        <v>0.565752099759113</v>
      </c>
    </row>
    <row r="19" customFormat="false" ht="15" hidden="false" customHeight="false" outlineLevel="0" collapsed="false">
      <c r="A19" s="19" t="str">
        <f aca="false">KMeans!A19</f>
        <v>Technology</v>
      </c>
      <c r="B19" s="28" t="n">
        <f aca="false">KMeans!F19</f>
        <v>3</v>
      </c>
      <c r="C19" s="24" t="n">
        <f aca="false">SQRT(SUMXMY2(KMeans!$B19:$E19,KMeans!$B6:$E6))</f>
        <v>3.0386174071611</v>
      </c>
      <c r="D19" s="24" t="n">
        <f aca="false">SQRT(SUMXMY2(KMeans!$B19:$E19,KMeans!$B7:$E7))</f>
        <v>3.06235417495461</v>
      </c>
      <c r="E19" s="24" t="n">
        <f aca="false">SQRT(SUMXMY2(KMeans!$B19:$E19,KMeans!$B8:$E8))</f>
        <v>2.62369980021613</v>
      </c>
      <c r="F19" s="24" t="n">
        <f aca="false">SQRT(SUMXMY2(KMeans!$B19:$E19,KMeans!$B9:$E9))</f>
        <v>5.04579206401283</v>
      </c>
      <c r="G19" s="24" t="n">
        <f aca="false">SQRT(SUMXMY2(KMeans!$B19:$E19,KMeans!$B10:$E10))</f>
        <v>2.09723727451295</v>
      </c>
      <c r="H19" s="24" t="n">
        <f aca="false">SQRT(SUMXMY2(KMeans!$B19:$E19,KMeans!$B11:$E11))</f>
        <v>1.61090022828402</v>
      </c>
      <c r="I19" s="24" t="n">
        <f aca="false">SQRT(SUMXMY2(KMeans!$B19:$E19,KMeans!$B12:$E12))</f>
        <v>2.02254024578531</v>
      </c>
      <c r="J19" s="24" t="n">
        <f aca="false">SQRT(SUMXMY2(KMeans!$B19:$E19,KMeans!$B13:$E13))</f>
        <v>1.20114178266415</v>
      </c>
      <c r="K19" s="24" t="n">
        <f aca="false">SQRT(SUMXMY2(KMeans!$B19:$E19,KMeans!$B14:$E14))</f>
        <v>1.28106357462997</v>
      </c>
      <c r="L19" s="24" t="n">
        <f aca="false">SQRT(SUMXMY2(KMeans!$B19:$E19,KMeans!$B15:$E15))</f>
        <v>0.762270143934244</v>
      </c>
      <c r="M19" s="24" t="n">
        <f aca="false">SQRT(SUMXMY2(KMeans!$B19:$E19,KMeans!$B16:$E16))</f>
        <v>1.41461363394337</v>
      </c>
      <c r="N19" s="24" t="n">
        <f aca="false">SQRT(SUMXMY2(KMeans!$B19:$E19,KMeans!$B17:$E17))</f>
        <v>3.95536150311273</v>
      </c>
      <c r="O19" s="24" t="n">
        <f aca="false">SQRT(SUMXMY2(KMeans!$B19:$E19,KMeans!$B18:$E18))</f>
        <v>0.164112064596924</v>
      </c>
      <c r="P19" s="24" t="n">
        <f aca="false">SQRT(SUMXMY2(KMeans!$B19:$E19,KMeans!$B19:$E19))</f>
        <v>0</v>
      </c>
      <c r="Q19" s="24" t="n">
        <f aca="false">SQRT(SUMXMY2(KMeans!$B19:$E19,KMeans!$B20:$E20))</f>
        <v>0.589901147133695</v>
      </c>
      <c r="R19" s="24" t="n">
        <f aca="false">SQRT(SUMXMY2(KMeans!$B19:$E19,KMeans!$B21:$E21))</f>
        <v>1.61898260718412</v>
      </c>
      <c r="S19" s="29" t="n">
        <f aca="false">COUNTIF($C$4:$R$4,$B19)</f>
        <v>11</v>
      </c>
      <c r="T19" s="37" t="n">
        <f aca="false">IF(S19&lt;=1,0,SUMIF($C$4:$R$4,$B19,$C19:$R19)/(S19-1))</f>
        <v>1.27627627026688</v>
      </c>
      <c r="U19" s="42" t="n">
        <f aca="false">IF($B19=1,1000000000,IFERROR(SUMIF($C$4:$R$4,1,$C19:$R19)/COUNTIF($C$4:$R$4,1),1000000000))</f>
        <v>2.90822379411061</v>
      </c>
      <c r="V19" s="42" t="n">
        <f aca="false">IF($B19=2,1000000000,IFERROR(SUMIF($C$4:$R$4,2,$C19:$R19)/COUNTIF($C$4:$R$4,2),1000000000))</f>
        <v>4.50057678356278</v>
      </c>
      <c r="W19" s="42" t="n">
        <f aca="false">IF($B19=3,1000000000,IFERROR(SUMIF($C$4:$R$4,3,$C19:$R19)/COUNTIF($C$4:$R$4,3),1000000000))</f>
        <v>1000000000</v>
      </c>
      <c r="X19" s="37" t="n">
        <f aca="false">MIN(U19:W19)</f>
        <v>2.90822379411061</v>
      </c>
      <c r="Y19" s="43" t="n">
        <f aca="false">IF(S19&lt;=1,0,(X19-T19)/MAX(T19,X19))</f>
        <v>0.561149223504932</v>
      </c>
    </row>
    <row r="20" customFormat="false" ht="15" hidden="false" customHeight="false" outlineLevel="0" collapsed="false">
      <c r="A20" s="19" t="str">
        <f aca="false">KMeans!A20</f>
        <v>Infrastructure</v>
      </c>
      <c r="B20" s="28" t="n">
        <f aca="false">KMeans!F20</f>
        <v>3</v>
      </c>
      <c r="C20" s="24" t="n">
        <f aca="false">SQRT(SUMXMY2(KMeans!$B20:$E20,KMeans!$B6:$E6))</f>
        <v>3.24914402729294</v>
      </c>
      <c r="D20" s="24" t="n">
        <f aca="false">SQRT(SUMXMY2(KMeans!$B20:$E20,KMeans!$B7:$E7))</f>
        <v>3.37253143338472</v>
      </c>
      <c r="E20" s="24" t="n">
        <f aca="false">SQRT(SUMXMY2(KMeans!$B20:$E20,KMeans!$B8:$E8))</f>
        <v>3.01062014576821</v>
      </c>
      <c r="F20" s="24" t="n">
        <f aca="false">SQRT(SUMXMY2(KMeans!$B20:$E20,KMeans!$B9:$E9))</f>
        <v>5.33409833669037</v>
      </c>
      <c r="G20" s="24" t="n">
        <f aca="false">SQRT(SUMXMY2(KMeans!$B20:$E20,KMeans!$B10:$E10))</f>
        <v>2.4762675176615</v>
      </c>
      <c r="H20" s="24" t="n">
        <f aca="false">SQRT(SUMXMY2(KMeans!$B20:$E20,KMeans!$B11:$E11))</f>
        <v>1.76106154059997</v>
      </c>
      <c r="I20" s="24" t="n">
        <f aca="false">SQRT(SUMXMY2(KMeans!$B20:$E20,KMeans!$B12:$E12))</f>
        <v>2.36154647990979</v>
      </c>
      <c r="J20" s="24" t="n">
        <f aca="false">SQRT(SUMXMY2(KMeans!$B20:$E20,KMeans!$B13:$E13))</f>
        <v>1.46456104992638</v>
      </c>
      <c r="K20" s="24" t="n">
        <f aca="false">SQRT(SUMXMY2(KMeans!$B20:$E20,KMeans!$B14:$E14))</f>
        <v>1.50671846744692</v>
      </c>
      <c r="L20" s="24" t="n">
        <f aca="false">SQRT(SUMXMY2(KMeans!$B20:$E20,KMeans!$B15:$E15))</f>
        <v>0.773521382240177</v>
      </c>
      <c r="M20" s="24" t="n">
        <f aca="false">SQRT(SUMXMY2(KMeans!$B20:$E20,KMeans!$B16:$E16))</f>
        <v>1.71264838269241</v>
      </c>
      <c r="N20" s="24" t="n">
        <f aca="false">SQRT(SUMXMY2(KMeans!$B20:$E20,KMeans!$B17:$E17))</f>
        <v>4.01823633839975</v>
      </c>
      <c r="O20" s="24" t="n">
        <f aca="false">SQRT(SUMXMY2(KMeans!$B20:$E20,KMeans!$B18:$E18))</f>
        <v>0.710552984191362</v>
      </c>
      <c r="P20" s="24" t="n">
        <f aca="false">SQRT(SUMXMY2(KMeans!$B20:$E20,KMeans!$B19:$E19))</f>
        <v>0.589901147133695</v>
      </c>
      <c r="Q20" s="24" t="n">
        <f aca="false">SQRT(SUMXMY2(KMeans!$B20:$E20,KMeans!$B20:$E20))</f>
        <v>0</v>
      </c>
      <c r="R20" s="24" t="n">
        <f aca="false">SQRT(SUMXMY2(KMeans!$B20:$E20,KMeans!$B21:$E21))</f>
        <v>1.91529783666556</v>
      </c>
      <c r="S20" s="29" t="n">
        <f aca="false">COUNTIF($C$4:$R$4,$B20)</f>
        <v>11</v>
      </c>
      <c r="T20" s="37" t="n">
        <f aca="false">IF(S20&lt;=1,0,SUMIF($C$4:$R$4,$B20,$C20:$R20)/(S20-1))</f>
        <v>1.52720767884678</v>
      </c>
      <c r="U20" s="42" t="n">
        <f aca="false">IF($B20=1,1000000000,IFERROR(SUMIF($C$4:$R$4,1,$C20:$R20)/COUNTIF($C$4:$R$4,1),1000000000))</f>
        <v>3.21076520214863</v>
      </c>
      <c r="V20" s="42" t="n">
        <f aca="false">IF($B20=2,1000000000,IFERROR(SUMIF($C$4:$R$4,2,$C20:$R20)/COUNTIF($C$4:$R$4,2),1000000000))</f>
        <v>4.67616733754506</v>
      </c>
      <c r="W20" s="42" t="n">
        <f aca="false">IF($B20=3,1000000000,IFERROR(SUMIF($C$4:$R$4,3,$C20:$R20)/COUNTIF($C$4:$R$4,3),1000000000))</f>
        <v>1000000000</v>
      </c>
      <c r="X20" s="37" t="n">
        <f aca="false">MIN(U20:W20)</f>
        <v>3.21076520214863</v>
      </c>
      <c r="Y20" s="43" t="n">
        <f aca="false">IF(S20&lt;=1,0,(X20-T20)/MAX(T20,X20))</f>
        <v>0.524347754290853</v>
      </c>
    </row>
    <row r="21" customFormat="false" ht="15" hidden="false" customHeight="false" outlineLevel="0" collapsed="false">
      <c r="A21" s="19" t="str">
        <f aca="false">KMeans!A21</f>
        <v>Other</v>
      </c>
      <c r="B21" s="28" t="n">
        <f aca="false">KMeans!F21</f>
        <v>3</v>
      </c>
      <c r="C21" s="24" t="n">
        <f aca="false">SQRT(SUMXMY2(KMeans!$B21:$E21,KMeans!$B6:$E6))</f>
        <v>1.83689567114722</v>
      </c>
      <c r="D21" s="24" t="n">
        <f aca="false">SQRT(SUMXMY2(KMeans!$B21:$E21,KMeans!$B7:$E7))</f>
        <v>1.57657196862751</v>
      </c>
      <c r="E21" s="24" t="n">
        <f aca="false">SQRT(SUMXMY2(KMeans!$B21:$E21,KMeans!$B8:$E8))</f>
        <v>1.49376251495568</v>
      </c>
      <c r="F21" s="24" t="n">
        <f aca="false">SQRT(SUMXMY2(KMeans!$B21:$E21,KMeans!$B9:$E9))</f>
        <v>5.26219723490718</v>
      </c>
      <c r="G21" s="24" t="n">
        <f aca="false">SQRT(SUMXMY2(KMeans!$B21:$E21,KMeans!$B10:$E10))</f>
        <v>1.47266023467544</v>
      </c>
      <c r="H21" s="24" t="n">
        <f aca="false">SQRT(SUMXMY2(KMeans!$B21:$E21,KMeans!$B11:$E11))</f>
        <v>1.20177811816318</v>
      </c>
      <c r="I21" s="24" t="n">
        <f aca="false">SQRT(SUMXMY2(KMeans!$B21:$E21,KMeans!$B12:$E12))</f>
        <v>1.16551155116036</v>
      </c>
      <c r="J21" s="24" t="n">
        <f aca="false">SQRT(SUMXMY2(KMeans!$B21:$E21,KMeans!$B13:$E13))</f>
        <v>0.49380420936944</v>
      </c>
      <c r="K21" s="24" t="n">
        <f aca="false">SQRT(SUMXMY2(KMeans!$B21:$E21,KMeans!$B14:$E14))</f>
        <v>0.787373628031774</v>
      </c>
      <c r="L21" s="24" t="n">
        <f aca="false">SQRT(SUMXMY2(KMeans!$B21:$E21,KMeans!$B15:$E15))</f>
        <v>1.33173626985614</v>
      </c>
      <c r="M21" s="24" t="n">
        <f aca="false">SQRT(SUMXMY2(KMeans!$B21:$E21,KMeans!$B16:$E16))</f>
        <v>2.56875222972443</v>
      </c>
      <c r="N21" s="24" t="n">
        <f aca="false">SQRT(SUMXMY2(KMeans!$B21:$E21,KMeans!$B17:$E17))</f>
        <v>4.36351212308962</v>
      </c>
      <c r="O21" s="24" t="n">
        <f aca="false">SQRT(SUMXMY2(KMeans!$B21:$E21,KMeans!$B18:$E18))</f>
        <v>1.52205810631049</v>
      </c>
      <c r="P21" s="24" t="n">
        <f aca="false">SQRT(SUMXMY2(KMeans!$B21:$E21,KMeans!$B19:$E19))</f>
        <v>1.61898260718412</v>
      </c>
      <c r="Q21" s="24" t="n">
        <f aca="false">SQRT(SUMXMY2(KMeans!$B21:$E21,KMeans!$B20:$E20))</f>
        <v>1.91529783666556</v>
      </c>
      <c r="R21" s="24" t="n">
        <f aca="false">SQRT(SUMXMY2(KMeans!$B21:$E21,KMeans!$B21:$E21))</f>
        <v>0</v>
      </c>
      <c r="S21" s="29" t="n">
        <f aca="false">COUNTIF($C$4:$R$4,$B21)</f>
        <v>11</v>
      </c>
      <c r="T21" s="37" t="n">
        <f aca="false">IF(S21&lt;=1,0,SUMIF($C$4:$R$4,$B21,$C21:$R21)/(S21-1))</f>
        <v>1.40779547911409</v>
      </c>
      <c r="U21" s="42" t="n">
        <f aca="false">IF($B21=1,1000000000,IFERROR(SUMIF($C$4:$R$4,1,$C21:$R21)/COUNTIF($C$4:$R$4,1),1000000000))</f>
        <v>1.63574338491014</v>
      </c>
      <c r="V21" s="42" t="n">
        <f aca="false">IF($B21=2,1000000000,IFERROR(SUMIF($C$4:$R$4,2,$C21:$R21)/COUNTIF($C$4:$R$4,2),1000000000))</f>
        <v>4.8128546789984</v>
      </c>
      <c r="W21" s="42" t="n">
        <f aca="false">IF($B21=3,1000000000,IFERROR(SUMIF($C$4:$R$4,3,$C21:$R21)/COUNTIF($C$4:$R$4,3),1000000000))</f>
        <v>1000000000</v>
      </c>
      <c r="X21" s="37" t="n">
        <f aca="false">MIN(U21:W21)</f>
        <v>1.63574338491014</v>
      </c>
      <c r="Y21" s="43" t="n">
        <f aca="false">IF(S21&lt;=1,0,(X21-T21)/MAX(T21,X21))</f>
        <v>0.13935431920366</v>
      </c>
    </row>
    <row r="23" customFormat="false" ht="15" hidden="false" customHeight="false" outlineLevel="0" collapsed="false">
      <c r="A23" s="2" t="s">
        <v>183</v>
      </c>
      <c r="Y23" s="25" t="n">
        <f aca="false">AVERAGE(Y6:Y21)</f>
        <v>0.381495148198541</v>
      </c>
    </row>
    <row r="26" customFormat="false" ht="23.85" hidden="false" customHeight="false" outlineLevel="0" collapsed="false">
      <c r="A26" s="5" t="s">
        <v>109</v>
      </c>
      <c r="B26" s="5" t="s">
        <v>24</v>
      </c>
    </row>
    <row r="27" customFormat="false" ht="15" hidden="false" customHeight="false" outlineLevel="0" collapsed="false">
      <c r="A27" s="36" t="n">
        <v>1</v>
      </c>
      <c r="B27" s="23" t="n">
        <f aca="false">IFERROR(AVERAGEIF($B$6:$B$21,A27,$Y$6:$Y$21),0)</f>
        <v>0.324516014321867</v>
      </c>
    </row>
    <row r="28" customFormat="false" ht="15" hidden="false" customHeight="false" outlineLevel="0" collapsed="false">
      <c r="A28" s="36" t="n">
        <v>2</v>
      </c>
      <c r="B28" s="23" t="n">
        <f aca="false">IFERROR(AVERAGEIF($B$6:$B$21,A28,$Y$6:$Y$21),0)</f>
        <v>0.422387483987131</v>
      </c>
    </row>
    <row r="29" customFormat="false" ht="15" hidden="false" customHeight="false" outlineLevel="0" collapsed="false">
      <c r="A29" s="36" t="n">
        <v>3</v>
      </c>
      <c r="B29" s="23" t="n">
        <f aca="false">IFERROR(AVERAGEIF($B$6:$B$21,A29,$Y$6:$Y$21),0)</f>
        <v>0.389599941839709</v>
      </c>
    </row>
    <row r="31" customFormat="false" ht="15" hidden="false" customHeight="false" outlineLevel="0" collapsed="false">
      <c r="A31" s="4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  <col collapsed="false" customWidth="true" hidden="false" outlineLevel="0" max="10" min="10" style="0" width="26"/>
    <col collapsed="false" customWidth="true" hidden="false" outlineLevel="0" max="14" min="11" style="0" width="14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4" t="s">
        <v>186</v>
      </c>
    </row>
    <row r="4" customFormat="false" ht="15" hidden="false" customHeight="false" outlineLevel="0" collapsed="false">
      <c r="A4" s="26" t="s">
        <v>187</v>
      </c>
      <c r="J4" s="26" t="s">
        <v>188</v>
      </c>
    </row>
    <row r="5" customFormat="false" ht="15" hidden="false" customHeight="false" outlineLevel="0" collapsed="false">
      <c r="A5" s="5" t="s">
        <v>51</v>
      </c>
      <c r="B5" s="5" t="s">
        <v>189</v>
      </c>
      <c r="C5" s="5" t="s">
        <v>190</v>
      </c>
      <c r="D5" s="5" t="s">
        <v>191</v>
      </c>
      <c r="E5" s="5" t="s">
        <v>192</v>
      </c>
      <c r="F5" s="5" t="s">
        <v>193</v>
      </c>
      <c r="G5" s="5" t="s">
        <v>194</v>
      </c>
      <c r="H5" s="5" t="s">
        <v>195</v>
      </c>
      <c r="J5" s="5" t="s">
        <v>196</v>
      </c>
      <c r="K5" s="5" t="s">
        <v>197</v>
      </c>
      <c r="L5" s="5" t="s">
        <v>198</v>
      </c>
      <c r="M5" s="5" t="s">
        <v>199</v>
      </c>
      <c r="N5" s="5" t="s">
        <v>200</v>
      </c>
    </row>
    <row r="6" customFormat="false" ht="15" hidden="false" customHeight="false" outlineLevel="0" collapsed="false">
      <c r="A6" s="44" t="s">
        <v>59</v>
      </c>
      <c r="B6" s="20" t="n">
        <f aca="false">INDEX(Data!$B$5:$B$20,MATCH($A6,Data!$A$5:$A$20,0))</f>
        <v>83</v>
      </c>
      <c r="C6" s="20" t="n">
        <f aca="false">INDEX(Data!$C$5:$C$20,MATCH($A6,Data!$A$5:$A$20,0))</f>
        <v>87</v>
      </c>
      <c r="D6" s="20" t="n">
        <f aca="false">INDEX(Data!$D$5:$D$20,MATCH($A6,Data!$A$5:$A$20,0))</f>
        <v>107</v>
      </c>
      <c r="E6" s="40" t="n">
        <f aca="false">$K$6+$K$7*B6+$K$8*C6</f>
        <v>78.8419226008224</v>
      </c>
      <c r="F6" s="45" t="n">
        <f aca="false">D6-E6</f>
        <v>28.1580773991776</v>
      </c>
      <c r="G6" s="24" t="n">
        <f aca="false">F6/$K$17</f>
        <v>1.54360948713158</v>
      </c>
      <c r="H6" s="46" t="str">
        <f aca="false">IF(ABS(G6)&gt;Inputs!$B$7,"Anomaly","")</f>
        <v>Anomaly</v>
      </c>
      <c r="J6" s="2" t="s">
        <v>201</v>
      </c>
      <c r="K6" s="33" t="n">
        <f aca="false">INDEX(LINEST($D$6:$D$17,$B$6:$C$17,TRUE(),TRUE()),1,3)</f>
        <v>8.73150300979422</v>
      </c>
      <c r="L6" s="47" t="n">
        <f aca="false">INDEX(LINEST($D$6:$D$17,$B$6:$C$17,TRUE(),TRUE()),2,3)</f>
        <v>15.2360000027043</v>
      </c>
      <c r="M6" s="24" t="n">
        <f aca="false">K6/L6</f>
        <v>0.573083683922582</v>
      </c>
      <c r="N6" s="47" t="n">
        <f aca="false">TDIST(ABS(M6),$K$14,2)</f>
        <v>0.580622156487168</v>
      </c>
    </row>
    <row r="7" customFormat="false" ht="15" hidden="false" customHeight="false" outlineLevel="0" collapsed="false">
      <c r="A7" s="44" t="s">
        <v>40</v>
      </c>
      <c r="B7" s="20" t="n">
        <f aca="false">INDEX(Data!$B$5:$B$20,MATCH($A7,Data!$A$5:$A$20,0))</f>
        <v>33</v>
      </c>
      <c r="C7" s="20" t="n">
        <f aca="false">INDEX(Data!$C$5:$C$20,MATCH($A7,Data!$A$5:$A$20,0))</f>
        <v>27</v>
      </c>
      <c r="D7" s="20" t="n">
        <f aca="false">INDEX(Data!$D$5:$D$20,MATCH($A7,Data!$A$5:$A$20,0))</f>
        <v>66</v>
      </c>
      <c r="E7" s="40" t="n">
        <f aca="false">$K$6+$K$7*B7+$K$8*C7</f>
        <v>32.4662839401466</v>
      </c>
      <c r="F7" s="45" t="n">
        <f aca="false">D7-E7</f>
        <v>33.5337160598534</v>
      </c>
      <c r="G7" s="24" t="n">
        <f aca="false">F7/$K$17</f>
        <v>1.83829888365454</v>
      </c>
      <c r="H7" s="46" t="str">
        <f aca="false">IF(ABS(G7)&gt;Inputs!$B$7,"Anomaly","")</f>
        <v>Anomaly</v>
      </c>
      <c r="J7" s="2" t="s">
        <v>189</v>
      </c>
      <c r="K7" s="33" t="n">
        <f aca="false">INDEX(LINEST($D$6:$D$17,$B$6:$C$17,TRUE(),TRUE()),1,2)</f>
        <v>0.272927955528404</v>
      </c>
      <c r="L7" s="47" t="n">
        <f aca="false">INDEX(LINEST($D$6:$D$17,$B$6:$C$17,TRUE(),TRUE()),2,2)</f>
        <v>0.658919556524727</v>
      </c>
      <c r="M7" s="24" t="n">
        <f aca="false">K7/L7</f>
        <v>0.414205274112488</v>
      </c>
      <c r="N7" s="47" t="n">
        <f aca="false">TDIST(ABS(M7),$K$14,2)</f>
        <v>0.688421173647173</v>
      </c>
    </row>
    <row r="8" customFormat="false" ht="15" hidden="false" customHeight="false" outlineLevel="0" collapsed="false">
      <c r="A8" s="44" t="s">
        <v>62</v>
      </c>
      <c r="B8" s="20" t="n">
        <f aca="false">INDEX(Data!$B$5:$B$20,MATCH($A8,Data!$A$5:$A$20,0))</f>
        <v>43</v>
      </c>
      <c r="C8" s="20" t="n">
        <f aca="false">INDEX(Data!$C$5:$C$20,MATCH($A8,Data!$A$5:$A$20,0))</f>
        <v>45</v>
      </c>
      <c r="D8" s="20" t="n">
        <f aca="false">INDEX(Data!$D$5:$D$20,MATCH($A8,Data!$A$5:$A$20,0))</f>
        <v>54</v>
      </c>
      <c r="E8" s="40" t="n">
        <f aca="false">$K$6+$K$7*B8+$K$8*C8</f>
        <v>45.0143357607073</v>
      </c>
      <c r="F8" s="45" t="n">
        <f aca="false">D8-E8</f>
        <v>8.98566423929269</v>
      </c>
      <c r="G8" s="24" t="n">
        <f aca="false">F8/$K$17</f>
        <v>0.492588906952725</v>
      </c>
      <c r="H8" s="46" t="str">
        <f aca="false">IF(ABS(G8)&gt;Inputs!$B$7,"Anomaly","")</f>
        <v/>
      </c>
      <c r="J8" s="2" t="s">
        <v>190</v>
      </c>
      <c r="K8" s="33" t="n">
        <f aca="false">INDEX(LINEST($D$6:$D$17,$B$6:$C$17,TRUE(),TRUE()),1,1)</f>
        <v>0.545487348070927</v>
      </c>
      <c r="L8" s="47" t="n">
        <f aca="false">INDEX(LINEST($D$6:$D$17,$B$6:$C$17,TRUE(),TRUE()),2,1)</f>
        <v>0.558028110805173</v>
      </c>
      <c r="M8" s="24" t="n">
        <f aca="false">K8/L8</f>
        <v>0.977526646970972</v>
      </c>
      <c r="N8" s="47" t="n">
        <f aca="false">TDIST(ABS(M8),$K$14,2)</f>
        <v>0.353850954645428</v>
      </c>
    </row>
    <row r="9" customFormat="false" ht="15" hidden="false" customHeight="false" outlineLevel="0" collapsed="false">
      <c r="A9" s="44" t="s">
        <v>66</v>
      </c>
      <c r="B9" s="20" t="n">
        <f aca="false">INDEX(Data!$B$5:$B$20,MATCH($A9,Data!$A$5:$A$20,0))</f>
        <v>44</v>
      </c>
      <c r="C9" s="20" t="n">
        <f aca="false">INDEX(Data!$C$5:$C$20,MATCH($A9,Data!$A$5:$A$20,0))</f>
        <v>48</v>
      </c>
      <c r="D9" s="20" t="n">
        <f aca="false">INDEX(Data!$D$5:$D$20,MATCH($A9,Data!$A$5:$A$20,0))</f>
        <v>46</v>
      </c>
      <c r="E9" s="40" t="n">
        <f aca="false">$K$6+$K$7*B9+$K$8*C9</f>
        <v>46.9237257604485</v>
      </c>
      <c r="F9" s="45" t="n">
        <f aca="false">D9-E9</f>
        <v>-0.923725760448491</v>
      </c>
      <c r="G9" s="24" t="n">
        <f aca="false">F9/$K$17</f>
        <v>-0.0506381109449526</v>
      </c>
      <c r="H9" s="46" t="str">
        <f aca="false">IF(ABS(G9)&gt;Inputs!$B$7,"Anomaly","")</f>
        <v/>
      </c>
    </row>
    <row r="10" customFormat="false" ht="15" hidden="false" customHeight="false" outlineLevel="0" collapsed="false">
      <c r="A10" s="44" t="s">
        <v>68</v>
      </c>
      <c r="B10" s="20" t="n">
        <f aca="false">INDEX(Data!$B$5:$B$20,MATCH($A10,Data!$A$5:$A$20,0))</f>
        <v>54</v>
      </c>
      <c r="C10" s="20" t="n">
        <f aca="false">INDEX(Data!$C$5:$C$20,MATCH($A10,Data!$A$5:$A$20,0))</f>
        <v>60</v>
      </c>
      <c r="D10" s="20" t="n">
        <f aca="false">INDEX(Data!$D$5:$D$20,MATCH($A10,Data!$A$5:$A$20,0))</f>
        <v>44</v>
      </c>
      <c r="E10" s="40" t="n">
        <f aca="false">$K$6+$K$7*B10+$K$8*C10</f>
        <v>56.1988534925837</v>
      </c>
      <c r="F10" s="45" t="n">
        <f aca="false">D10-E10</f>
        <v>-12.1988534925837</v>
      </c>
      <c r="G10" s="24" t="n">
        <f aca="false">F10/$K$17</f>
        <v>-0.668734079970611</v>
      </c>
      <c r="H10" s="46" t="str">
        <f aca="false">IF(ABS(G10)&gt;Inputs!$B$7,"Anomaly","")</f>
        <v/>
      </c>
      <c r="J10" s="26" t="s">
        <v>202</v>
      </c>
    </row>
    <row r="11" customFormat="false" ht="15" hidden="false" customHeight="false" outlineLevel="0" collapsed="false">
      <c r="A11" s="44" t="s">
        <v>70</v>
      </c>
      <c r="B11" s="20" t="n">
        <f aca="false">INDEX(Data!$B$5:$B$20,MATCH($A11,Data!$A$5:$A$20,0))</f>
        <v>42</v>
      </c>
      <c r="C11" s="20" t="n">
        <f aca="false">INDEX(Data!$C$5:$C$20,MATCH($A11,Data!$A$5:$A$20,0))</f>
        <v>53</v>
      </c>
      <c r="D11" s="20" t="n">
        <f aca="false">INDEX(Data!$D$5:$D$20,MATCH($A11,Data!$A$5:$A$20,0))</f>
        <v>40</v>
      </c>
      <c r="E11" s="40" t="n">
        <f aca="false">$K$6+$K$7*B11+$K$8*C11</f>
        <v>49.1053065897463</v>
      </c>
      <c r="F11" s="45" t="n">
        <f aca="false">D11-E11</f>
        <v>-9.10530658974632</v>
      </c>
      <c r="G11" s="24" t="n">
        <f aca="false">F11/$K$17</f>
        <v>-0.499147631279136</v>
      </c>
      <c r="H11" s="46" t="str">
        <f aca="false">IF(ABS(G11)&gt;Inputs!$B$7,"Anomaly","")</f>
        <v/>
      </c>
      <c r="J11" s="3" t="s">
        <v>203</v>
      </c>
      <c r="K11" s="25" t="n">
        <f aca="false">INDEX(LINEST($D$6:$D$17,$B$6:$C$17,TRUE(),TRUE()),3,1)</f>
        <v>0.491336689159522</v>
      </c>
    </row>
    <row r="12" customFormat="false" ht="15" hidden="false" customHeight="false" outlineLevel="0" collapsed="false">
      <c r="A12" s="44" t="s">
        <v>72</v>
      </c>
      <c r="B12" s="20" t="n">
        <f aca="false">INDEX(Data!$B$5:$B$20,MATCH($A12,Data!$A$5:$A$20,0))</f>
        <v>52</v>
      </c>
      <c r="C12" s="20" t="n">
        <f aca="false">INDEX(Data!$C$5:$C$20,MATCH($A12,Data!$A$5:$A$20,0))</f>
        <v>54</v>
      </c>
      <c r="D12" s="20" t="n">
        <f aca="false">INDEX(Data!$D$5:$D$20,MATCH($A12,Data!$A$5:$A$20,0))</f>
        <v>33</v>
      </c>
      <c r="E12" s="40" t="n">
        <f aca="false">$K$6+$K$7*B12+$K$8*C12</f>
        <v>52.3800734931013</v>
      </c>
      <c r="F12" s="45" t="n">
        <f aca="false">D12-E12</f>
        <v>-19.3800734931013</v>
      </c>
      <c r="G12" s="24" t="n">
        <f aca="false">F12/$K$17</f>
        <v>-1.06240439931925</v>
      </c>
      <c r="H12" s="46" t="str">
        <f aca="false">IF(ABS(G12)&gt;Inputs!$B$7,"Anomaly","")</f>
        <v/>
      </c>
      <c r="J12" s="3" t="s">
        <v>204</v>
      </c>
      <c r="K12" s="25" t="n">
        <f aca="false">1-(1-K11)*(K13-1)/K14</f>
        <v>0.378300397861638</v>
      </c>
    </row>
    <row r="13" customFormat="false" ht="15" hidden="false" customHeight="false" outlineLevel="0" collapsed="false">
      <c r="A13" s="44" t="s">
        <v>74</v>
      </c>
      <c r="B13" s="20" t="n">
        <f aca="false">INDEX(Data!$B$5:$B$20,MATCH($A13,Data!$A$5:$A$20,0))</f>
        <v>46</v>
      </c>
      <c r="C13" s="20" t="n">
        <f aca="false">INDEX(Data!$C$5:$C$20,MATCH($A13,Data!$A$5:$A$20,0))</f>
        <v>23</v>
      </c>
      <c r="D13" s="20" t="n">
        <f aca="false">INDEX(Data!$D$5:$D$20,MATCH($A13,Data!$A$5:$A$20,0))</f>
        <v>30</v>
      </c>
      <c r="E13" s="40" t="n">
        <f aca="false">$K$6+$K$7*B13+$K$8*C13</f>
        <v>33.8323979697321</v>
      </c>
      <c r="F13" s="45" t="n">
        <f aca="false">D13-E13</f>
        <v>-3.83239796973213</v>
      </c>
      <c r="G13" s="24" t="n">
        <f aca="false">F13/$K$17</f>
        <v>-0.210089836059442</v>
      </c>
      <c r="H13" s="46" t="str">
        <f aca="false">IF(ABS(G13)&gt;Inputs!$B$7,"Anomaly","")</f>
        <v/>
      </c>
      <c r="J13" s="3" t="s">
        <v>205</v>
      </c>
      <c r="K13" s="38" t="n">
        <f aca="false">COUNT(D6:D17)</f>
        <v>12</v>
      </c>
    </row>
    <row r="14" customFormat="false" ht="15" hidden="false" customHeight="false" outlineLevel="0" collapsed="false">
      <c r="A14" s="44" t="s">
        <v>76</v>
      </c>
      <c r="B14" s="20" t="n">
        <f aca="false">INDEX(Data!$B$5:$B$20,MATCH($A14,Data!$A$5:$A$20,0))</f>
        <v>11</v>
      </c>
      <c r="C14" s="20" t="n">
        <f aca="false">INDEX(Data!$C$5:$C$20,MATCH($A14,Data!$A$5:$A$20,0))</f>
        <v>20</v>
      </c>
      <c r="D14" s="20" t="n">
        <f aca="false">INDEX(Data!$D$5:$D$20,MATCH($A14,Data!$A$5:$A$20,0))</f>
        <v>29</v>
      </c>
      <c r="E14" s="40" t="n">
        <f aca="false">$K$6+$K$7*B14+$K$8*C14</f>
        <v>22.6434574820252</v>
      </c>
      <c r="F14" s="45" t="n">
        <f aca="false">D14-E14</f>
        <v>6.35654251797479</v>
      </c>
      <c r="G14" s="24" t="n">
        <f aca="false">F14/$K$17</f>
        <v>0.348461977606031</v>
      </c>
      <c r="H14" s="46" t="str">
        <f aca="false">IF(ABS(G14)&gt;Inputs!$B$7,"Anomaly","")</f>
        <v/>
      </c>
      <c r="J14" s="3" t="s">
        <v>206</v>
      </c>
      <c r="K14" s="38" t="n">
        <f aca="false">INDEX(LINEST($D$6:$D$17,$B$6:$C$17,TRUE(),TRUE()),4,2)</f>
        <v>9</v>
      </c>
    </row>
    <row r="15" customFormat="false" ht="15" hidden="false" customHeight="false" outlineLevel="0" collapsed="false">
      <c r="A15" s="44" t="s">
        <v>78</v>
      </c>
      <c r="B15" s="20" t="n">
        <f aca="false">INDEX(Data!$B$5:$B$20,MATCH($A15,Data!$A$5:$A$20,0))</f>
        <v>41</v>
      </c>
      <c r="C15" s="20" t="n">
        <f aca="false">INDEX(Data!$C$5:$C$20,MATCH($A15,Data!$A$5:$A$20,0))</f>
        <v>31</v>
      </c>
      <c r="D15" s="20" t="n">
        <f aca="false">INDEX(Data!$D$5:$D$20,MATCH($A15,Data!$A$5:$A$20,0))</f>
        <v>27</v>
      </c>
      <c r="E15" s="40" t="n">
        <f aca="false">$K$6+$K$7*B15+$K$8*C15</f>
        <v>36.8316569766575</v>
      </c>
      <c r="F15" s="45" t="n">
        <f aca="false">D15-E15</f>
        <v>-9.83165697665752</v>
      </c>
      <c r="G15" s="24" t="n">
        <f aca="false">F15/$K$17</f>
        <v>-0.538965738613785</v>
      </c>
      <c r="H15" s="46" t="str">
        <f aca="false">IF(ABS(G15)&gt;Inputs!$B$7,"Anomaly","")</f>
        <v/>
      </c>
      <c r="J15" s="3" t="s">
        <v>207</v>
      </c>
      <c r="K15" s="39" t="n">
        <f aca="false">INDEX(LINEST($D$6:$D$17,$B$6:$C$17,TRUE(),TRUE()),4,1)</f>
        <v>4.34671629366098</v>
      </c>
    </row>
    <row r="16" customFormat="false" ht="15" hidden="false" customHeight="false" outlineLevel="0" collapsed="false">
      <c r="A16" s="44" t="s">
        <v>43</v>
      </c>
      <c r="B16" s="20" t="n">
        <f aca="false">INDEX(Data!$B$5:$B$20,MATCH($A16,Data!$A$5:$A$20,0))</f>
        <v>41</v>
      </c>
      <c r="C16" s="20" t="n">
        <f aca="false">INDEX(Data!$C$5:$C$20,MATCH($A16,Data!$A$5:$A$20,0))</f>
        <v>31</v>
      </c>
      <c r="D16" s="20" t="n">
        <f aca="false">INDEX(Data!$D$5:$D$20,MATCH($A16,Data!$A$5:$A$20,0))</f>
        <v>26</v>
      </c>
      <c r="E16" s="40" t="n">
        <f aca="false">$K$6+$K$7*B16+$K$8*C16</f>
        <v>36.8316569766575</v>
      </c>
      <c r="F16" s="45" t="n">
        <f aca="false">D16-E16</f>
        <v>-10.8316569766575</v>
      </c>
      <c r="G16" s="24" t="n">
        <f aca="false">F16/$K$17</f>
        <v>-0.593785159174674</v>
      </c>
      <c r="H16" s="46" t="str">
        <f aca="false">IF(ABS(G16)&gt;Inputs!$B$7,"Anomaly","")</f>
        <v/>
      </c>
      <c r="J16" s="3" t="s">
        <v>208</v>
      </c>
      <c r="K16" s="48" t="n">
        <f aca="false">FDIST(K15,2,K14)</f>
        <v>0.047745985491291</v>
      </c>
    </row>
    <row r="17" customFormat="false" ht="15" hidden="false" customHeight="false" outlineLevel="0" collapsed="false">
      <c r="A17" s="44" t="s">
        <v>83</v>
      </c>
      <c r="B17" s="20" t="n">
        <f aca="false">INDEX(Data!$B$5:$B$20,MATCH($A17,Data!$A$5:$A$20,0))</f>
        <v>72</v>
      </c>
      <c r="C17" s="20" t="n">
        <f aca="false">INDEX(Data!$C$5:$C$20,MATCH($A17,Data!$A$5:$A$20,0))</f>
        <v>78</v>
      </c>
      <c r="D17" s="20" t="n">
        <f aca="false">INDEX(Data!$D$5:$D$20,MATCH($A17,Data!$A$5:$A$20,0))</f>
        <v>60</v>
      </c>
      <c r="E17" s="40" t="n">
        <f aca="false">$K$6+$K$7*B17+$K$8*C17</f>
        <v>70.9303289573716</v>
      </c>
      <c r="F17" s="45" t="n">
        <f aca="false">D17-E17</f>
        <v>-10.9303289573716</v>
      </c>
      <c r="G17" s="24" t="n">
        <f aca="false">F17/$K$17</f>
        <v>-0.599194299983016</v>
      </c>
      <c r="H17" s="46" t="str">
        <f aca="false">IF(ABS(G17)&gt;Inputs!$B$7,"Anomaly","")</f>
        <v/>
      </c>
      <c r="J17" s="3" t="s">
        <v>209</v>
      </c>
      <c r="K17" s="39" t="n">
        <f aca="false">INDEX(LINEST($D$6:$D$17,$B$6:$C$17,TRUE(),TRUE()),3,2)</f>
        <v>18.2417105063941</v>
      </c>
    </row>
    <row r="18" customFormat="false" ht="15" hidden="false" customHeight="false" outlineLevel="0" collapsed="false">
      <c r="J18" s="3" t="s">
        <v>210</v>
      </c>
      <c r="K18" s="39" t="n">
        <f aca="false">SQRT(SUMSQ(F6:F17)/K13)</f>
        <v>15.7977847070188</v>
      </c>
    </row>
    <row r="19" customFormat="false" ht="15" hidden="false" customHeight="false" outlineLevel="0" collapsed="false">
      <c r="J19" s="3" t="s">
        <v>211</v>
      </c>
      <c r="K19" s="39" t="n">
        <f aca="false">1/(1-CORREL(B6:B17,C6:C17)^2)</f>
        <v>4.70978167316736</v>
      </c>
    </row>
    <row r="20" customFormat="false" ht="15" hidden="false" customHeight="false" outlineLevel="0" collapsed="false">
      <c r="A20" s="26" t="s">
        <v>212</v>
      </c>
      <c r="J20" s="4" t="s">
        <v>213</v>
      </c>
    </row>
    <row r="21" customFormat="false" ht="23.85" hidden="false" customHeight="false" outlineLevel="0" collapsed="false">
      <c r="A21" s="5" t="s">
        <v>51</v>
      </c>
      <c r="B21" s="5" t="s">
        <v>52</v>
      </c>
      <c r="C21" s="5" t="s">
        <v>53</v>
      </c>
      <c r="D21" s="5" t="s">
        <v>214</v>
      </c>
      <c r="E21" s="5" t="s">
        <v>215</v>
      </c>
      <c r="F21" s="5" t="s">
        <v>216</v>
      </c>
      <c r="G21" s="5" t="s">
        <v>217</v>
      </c>
      <c r="H21" s="5" t="s">
        <v>218</v>
      </c>
      <c r="I21" s="5" t="s">
        <v>194</v>
      </c>
      <c r="J21" s="5" t="s">
        <v>195</v>
      </c>
    </row>
    <row r="22" customFormat="false" ht="15" hidden="false" customHeight="false" outlineLevel="0" collapsed="false">
      <c r="A22" s="44" t="s">
        <v>37</v>
      </c>
      <c r="B22" s="20" t="n">
        <f aca="false">INDEX(Data!$B$5:$B$20,MATCH($A22,Data!$A$5:$A$20,0))</f>
        <v>215</v>
      </c>
      <c r="C22" s="20" t="n">
        <f aca="false">INDEX(Data!$C$5:$C$20,MATCH($A22,Data!$A$5:$A$20,0))</f>
        <v>249</v>
      </c>
      <c r="D22" s="20" t="n">
        <f aca="false">INDEX(Data!$D$5:$D$20,MATCH($A22,Data!$A$5:$A$20,0))</f>
        <v>167</v>
      </c>
      <c r="E22" s="40" t="n">
        <f aca="false">$K$6+$K$7*B22+$K$8*C22</f>
        <v>203.237363118062</v>
      </c>
      <c r="F22" s="40" t="n">
        <f aca="false">C22</f>
        <v>249</v>
      </c>
      <c r="G22" s="45" t="n">
        <f aca="false">D22-E22</f>
        <v>-36.2373631180619</v>
      </c>
      <c r="H22" s="45" t="n">
        <f aca="false">D22-F22</f>
        <v>-82</v>
      </c>
      <c r="I22" s="24" t="n">
        <f aca="false">G22/$K$17</f>
        <v>-1.98651124878668</v>
      </c>
      <c r="J22" s="46" t="str">
        <f aca="false">IF(ABS(I22)&gt;Inputs!$B$7,"Anomaly","")</f>
        <v>Anomaly</v>
      </c>
    </row>
    <row r="23" customFormat="false" ht="15" hidden="false" customHeight="false" outlineLevel="0" collapsed="false">
      <c r="A23" s="44" t="s">
        <v>57</v>
      </c>
      <c r="B23" s="20" t="n">
        <f aca="false">INDEX(Data!$B$5:$B$20,MATCH($A23,Data!$A$5:$A$20,0))</f>
        <v>192</v>
      </c>
      <c r="C23" s="20" t="n">
        <f aca="false">INDEX(Data!$C$5:$C$20,MATCH($A23,Data!$A$5:$A$20,0))</f>
        <v>195</v>
      </c>
      <c r="D23" s="20" t="n">
        <f aca="false">INDEX(Data!$D$5:$D$20,MATCH($A23,Data!$A$5:$A$20,0))</f>
        <v>165</v>
      </c>
      <c r="E23" s="40" t="n">
        <f aca="false">$K$6+$K$7*B23+$K$8*C23</f>
        <v>167.503703345079</v>
      </c>
      <c r="F23" s="40" t="n">
        <f aca="false">C23</f>
        <v>195</v>
      </c>
      <c r="G23" s="45" t="n">
        <f aca="false">D23-E23</f>
        <v>-2.50370334507852</v>
      </c>
      <c r="H23" s="45" t="n">
        <f aca="false">D23-F23</f>
        <v>-30</v>
      </c>
      <c r="I23" s="24" t="n">
        <f aca="false">G23/$K$17</f>
        <v>-0.137251566633563</v>
      </c>
      <c r="J23" s="46" t="str">
        <f aca="false">IF(ABS(I23)&gt;Inputs!$B$7,"Anomaly","")</f>
        <v/>
      </c>
    </row>
    <row r="24" customFormat="false" ht="15" hidden="false" customHeight="false" outlineLevel="0" collapsed="false">
      <c r="A24" s="44" t="s">
        <v>64</v>
      </c>
      <c r="B24" s="20" t="n">
        <f aca="false">INDEX(Data!$B$5:$B$20,MATCH($A24,Data!$A$5:$A$20,0))</f>
        <v>39</v>
      </c>
      <c r="C24" s="20" t="n">
        <f aca="false">INDEX(Data!$C$5:$C$20,MATCH($A24,Data!$A$5:$A$20,0))</f>
        <v>60</v>
      </c>
      <c r="D24" s="20" t="n">
        <f aca="false">INDEX(Data!$D$5:$D$20,MATCH($A24,Data!$A$5:$A$20,0))</f>
        <v>47</v>
      </c>
      <c r="E24" s="40" t="n">
        <f aca="false">$K$6+$K$7*B24+$K$8*C24</f>
        <v>52.1049341596576</v>
      </c>
      <c r="F24" s="40" t="n">
        <f aca="false">C24</f>
        <v>60</v>
      </c>
      <c r="G24" s="45" t="n">
        <f aca="false">D24-E24</f>
        <v>-5.1049341596576</v>
      </c>
      <c r="H24" s="45" t="n">
        <f aca="false">D24-F24</f>
        <v>-13</v>
      </c>
      <c r="I24" s="24" t="n">
        <f aca="false">G24/$K$17</f>
        <v>-0.279849532633918</v>
      </c>
      <c r="J24" s="46" t="str">
        <f aca="false">IF(ABS(I24)&gt;Inputs!$B$7,"Anomaly","")</f>
        <v/>
      </c>
    </row>
    <row r="25" customFormat="false" ht="15" hidden="false" customHeight="false" outlineLevel="0" collapsed="false">
      <c r="A25" s="44" t="s">
        <v>81</v>
      </c>
      <c r="B25" s="20" t="n">
        <f aca="false">INDEX(Data!$B$5:$B$20,MATCH($A25,Data!$A$5:$A$20,0))</f>
        <v>33</v>
      </c>
      <c r="C25" s="20" t="n">
        <f aca="false">INDEX(Data!$C$5:$C$20,MATCH($A25,Data!$A$5:$A$20,0))</f>
        <v>33</v>
      </c>
      <c r="D25" s="20" t="n">
        <f aca="false">INDEX(Data!$D$5:$D$20,MATCH($A25,Data!$A$5:$A$20,0))</f>
        <v>20</v>
      </c>
      <c r="E25" s="40" t="n">
        <f aca="false">$K$6+$K$7*B25+$K$8*C25</f>
        <v>35.7392080285721</v>
      </c>
      <c r="F25" s="40" t="n">
        <f aca="false">C25</f>
        <v>33</v>
      </c>
      <c r="G25" s="45" t="n">
        <f aca="false">D25-E25</f>
        <v>-15.7392080285721</v>
      </c>
      <c r="H25" s="45" t="n">
        <f aca="false">D25-F25</f>
        <v>-13</v>
      </c>
      <c r="I25" s="24" t="n">
        <f aca="false">G25/$K$17</f>
        <v>-0.862814264213614</v>
      </c>
      <c r="J25" s="46" t="str">
        <f aca="false">IF(ABS(I25)&gt;Inputs!$B$7,"Anomaly","")</f>
        <v/>
      </c>
    </row>
    <row r="27" customFormat="false" ht="15" hidden="false" customHeight="false" outlineLevel="0" collapsed="false">
      <c r="A27" s="26" t="s">
        <v>219</v>
      </c>
    </row>
    <row r="28" customFormat="false" ht="23.85" hidden="false" customHeight="false" outlineLevel="0" collapsed="false">
      <c r="A28" s="5" t="s">
        <v>18</v>
      </c>
      <c r="B28" s="5" t="s">
        <v>220</v>
      </c>
      <c r="C28" s="5" t="s">
        <v>221</v>
      </c>
    </row>
    <row r="29" customFormat="false" ht="15" hidden="false" customHeight="false" outlineLevel="0" collapsed="false">
      <c r="A29" s="3" t="s">
        <v>222</v>
      </c>
      <c r="B29" s="39" t="n">
        <f aca="false">SQRT(SUMSQ(G22:G25)/COUNT(D22:D25))</f>
        <v>19.9574424609689</v>
      </c>
      <c r="C29" s="37" t="n">
        <f aca="false">SQRT(SUMSQ(H22:H25)/COUNT(D22:D25))</f>
        <v>44.6150198924084</v>
      </c>
    </row>
    <row r="30" customFormat="false" ht="15" hidden="false" customHeight="false" outlineLevel="0" collapsed="false">
      <c r="A30" s="3" t="s">
        <v>223</v>
      </c>
      <c r="B30" s="39" t="n">
        <f aca="false">SUMPRODUCT(ABS(G22:G25))/COUNT(D22:D25)</f>
        <v>14.8963021628425</v>
      </c>
      <c r="C30" s="37" t="n">
        <f aca="false">SUMPRODUCT(ABS(H22:H25))/COUNT(D22:D25)</f>
        <v>34.5</v>
      </c>
    </row>
    <row r="31" customFormat="false" ht="15" hidden="false" customHeight="false" outlineLevel="0" collapsed="false">
      <c r="A31" s="3" t="s">
        <v>224</v>
      </c>
      <c r="B31" s="49" t="n">
        <f aca="false">SUMPRODUCT(ABS(G22:G25)/D22:D25)/COUNT(D22:D25)</f>
        <v>0.281935044956436</v>
      </c>
      <c r="C31" s="30" t="n">
        <f aca="false">SUMPRODUCT(ABS(H22:H25)/D22:D25)/COUNT(D22:D25)</f>
        <v>0.399857972642722</v>
      </c>
    </row>
    <row r="32" customFormat="false" ht="15" hidden="false" customHeight="false" outlineLevel="0" collapsed="false">
      <c r="A32" s="2" t="s">
        <v>225</v>
      </c>
      <c r="B32" s="50" t="n">
        <f aca="false">1-B29/C29</f>
        <v>0.552674356996873</v>
      </c>
    </row>
    <row r="33" customFormat="false" ht="15" hidden="false" customHeight="false" outlineLevel="0" collapsed="false">
      <c r="A33" s="4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2026-10-22T04:48:55Z</dcterms:created>
  <dc:creator>openpyxl</dc:creator>
  <dc:description/>
  <dc:language>en-US</dc:language>
  <cp:lastModifiedBy/>
  <dcterms:modified xsi:type="dcterms:W3CDTF">2026-10-22T04:48:59Z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